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ithub\Arduino_GIGA-stuff\Documents\"/>
    </mc:Choice>
  </mc:AlternateContent>
  <xr:revisionPtr revIDLastSave="0" documentId="13_ncr:1_{8E000604-E9B0-422B-B164-7CCDC9693D91}" xr6:coauthVersionLast="47" xr6:coauthVersionMax="47" xr10:uidLastSave="{00000000-0000-0000-0000-000000000000}"/>
  <bookViews>
    <workbookView xWindow="2580" yWindow="945" windowWidth="18675" windowHeight="19800" xr2:uid="{CB0912F1-C50E-40C7-B4EB-D1D9D6344286}"/>
  </bookViews>
  <sheets>
    <sheet name="Mid Carrier" sheetId="1" r:id="rId1"/>
    <sheet name="Hat" sheetId="5" r:id="rId2"/>
    <sheet name="pin_name_table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3" i="1" l="1"/>
  <c r="G54" i="5"/>
  <c r="G50" i="5"/>
  <c r="G46" i="5"/>
  <c r="G45" i="5"/>
  <c r="G44" i="5"/>
  <c r="G43" i="5"/>
  <c r="G42" i="5"/>
  <c r="G41" i="5"/>
  <c r="G40" i="5"/>
  <c r="G39" i="5"/>
  <c r="G38" i="5"/>
  <c r="G37" i="5"/>
  <c r="G36" i="5"/>
  <c r="G35" i="5"/>
  <c r="G34" i="5"/>
  <c r="G30" i="5"/>
  <c r="G29" i="5"/>
  <c r="G28" i="5"/>
  <c r="G27" i="5"/>
  <c r="G26" i="5"/>
  <c r="G25" i="5"/>
  <c r="G24" i="5"/>
  <c r="G23" i="5"/>
  <c r="G22" i="5"/>
  <c r="G21" i="5"/>
  <c r="G20" i="5"/>
  <c r="G19" i="5"/>
  <c r="G18" i="5"/>
  <c r="G17" i="5"/>
  <c r="G16" i="5"/>
  <c r="G15" i="5"/>
  <c r="G14" i="5"/>
  <c r="G13" i="5"/>
  <c r="G12" i="5"/>
  <c r="G11" i="5"/>
  <c r="G10" i="5"/>
  <c r="G9" i="5"/>
  <c r="G8" i="5"/>
  <c r="G7" i="5"/>
  <c r="G6" i="5"/>
  <c r="G5" i="5"/>
  <c r="G4" i="5"/>
  <c r="G3" i="5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</calcChain>
</file>

<file path=xl/sharedStrings.xml><?xml version="1.0" encoding="utf-8"?>
<sst xmlns="http://schemas.openxmlformats.org/spreadsheetml/2006/main" count="747" uniqueCount="442">
  <si>
    <t>Breakout Header (J14)</t>
  </si>
  <si>
    <t>Pin_x000D_
number</t>
  </si>
  <si>
    <t>Function</t>
  </si>
  <si>
    <t>Portenta X8_x000D_
(Linux)</t>
  </si>
  <si>
    <t>Portenta X8_x000D_
(Python® - Modes:_x000D_
BOARD / BCM / IMX / X8)</t>
  </si>
  <si>
    <t>Portenta X8_x000D_
(Arduino)</t>
  </si>
  <si>
    <t>Portenta H7</t>
  </si>
  <si>
    <t>Portenta C33</t>
  </si>
  <si>
    <t>SERIAL0 RTS</t>
  </si>
  <si>
    <t>181</t>
  </si>
  <si>
    <t>3 / - / 181 / RTS0</t>
  </si>
  <si>
    <t>PC_7</t>
  </si>
  <si>
    <t>PI_1</t>
  </si>
  <si>
    <t>SERIAL1 RTS</t>
  </si>
  <si>
    <t>126</t>
  </si>
  <si>
    <t>4 / - / 126 / RTS1</t>
  </si>
  <si>
    <t>-</t>
  </si>
  <si>
    <t>PI_14</t>
  </si>
  <si>
    <t>SERIAL0 RX</t>
  </si>
  <si>
    <t>180</t>
  </si>
  <si>
    <t>7 / - / 180 / RX0</t>
  </si>
  <si>
    <t>PI_9</t>
  </si>
  <si>
    <t>SERIAL1 RX</t>
  </si>
  <si>
    <t>127</t>
  </si>
  <si>
    <t>8 / - / 127 / RX1</t>
  </si>
  <si>
    <t>PE_11</t>
  </si>
  <si>
    <t>PA_10</t>
  </si>
  <si>
    <t>SERIAL0 TX</t>
  </si>
  <si>
    <t>179</t>
  </si>
  <si>
    <t>9 / - / 179 / TX0</t>
  </si>
  <si>
    <t>PA_0</t>
  </si>
  <si>
    <t>SERIAL1 TX</t>
  </si>
  <si>
    <t>128</t>
  </si>
  <si>
    <t>10 / - / 128 / TX1</t>
  </si>
  <si>
    <t>PA_9</t>
  </si>
  <si>
    <t>SERIAL0 CTS</t>
  </si>
  <si>
    <t>182</t>
  </si>
  <si>
    <t>11 / - / 182 / CTS0</t>
  </si>
  <si>
    <t>PI_13</t>
  </si>
  <si>
    <t>SERIAL1 CTS</t>
  </si>
  <si>
    <t>125</t>
  </si>
  <si>
    <t>12 / - / 125 / CTS1</t>
  </si>
  <si>
    <t>PI_15</t>
  </si>
  <si>
    <t>SERIAL2 RTS</t>
  </si>
  <si>
    <t>NC</t>
  </si>
  <si>
    <t>15 / - / - / RTS2</t>
  </si>
  <si>
    <t>SERIAL3 RTS</t>
  </si>
  <si>
    <t>16 / - / - / RTS3</t>
  </si>
  <si>
    <t>SERIAL2 RX</t>
  </si>
  <si>
    <t>154</t>
  </si>
  <si>
    <t>19 / - / 154 / RX2</t>
  </si>
  <si>
    <t>PG_9</t>
  </si>
  <si>
    <t>SERIAL3 RX</t>
  </si>
  <si>
    <t>156</t>
  </si>
  <si>
    <t>20 / - / 156 / RX3</t>
  </si>
  <si>
    <t>PJ_9</t>
  </si>
  <si>
    <t>SERIAL2 TX</t>
  </si>
  <si>
    <t>155</t>
  </si>
  <si>
    <t>21 / - / 155 / TX2</t>
  </si>
  <si>
    <t>PB_10</t>
  </si>
  <si>
    <t>PG_14</t>
  </si>
  <si>
    <t>SERIAL3 TX</t>
  </si>
  <si>
    <t>157</t>
  </si>
  <si>
    <t>22 / - / 157 / TX3</t>
  </si>
  <si>
    <t>PJ_8</t>
  </si>
  <si>
    <t>SERIAL2 CTS</t>
  </si>
  <si>
    <t>23 / - / -/ CTS2</t>
  </si>
  <si>
    <t>PA_11</t>
  </si>
  <si>
    <t>SERIAL3 CTS</t>
  </si>
  <si>
    <t>24 / - / - / CTS3</t>
  </si>
  <si>
    <t>I2S CLK</t>
  </si>
  <si>
    <t>87</t>
  </si>
  <si>
    <t>25 / - / 87 / I2S_CLK</t>
  </si>
  <si>
    <t>PD_15</t>
  </si>
  <si>
    <t>PD_3</t>
  </si>
  <si>
    <t>CAN0 TX</t>
  </si>
  <si>
    <t>175</t>
  </si>
  <si>
    <t>26 / - / 175 / CAN0_TX</t>
  </si>
  <si>
    <t>PA_8</t>
  </si>
  <si>
    <t>I2S WS</t>
  </si>
  <si>
    <t>86</t>
  </si>
  <si>
    <t>27 / - / 86 / I2S_WS</t>
  </si>
  <si>
    <t>PB_9</t>
  </si>
  <si>
    <t>CAN0 RX</t>
  </si>
  <si>
    <t>176</t>
  </si>
  <si>
    <t>28 / - / 176 / CAN0_RX</t>
  </si>
  <si>
    <t>I2S SDI</t>
  </si>
  <si>
    <t>85</t>
  </si>
  <si>
    <t>29 / - / 85 / I2S_SDI</t>
  </si>
  <si>
    <t>PI_2</t>
  </si>
  <si>
    <t>CAN1 TX</t>
  </si>
  <si>
    <t>177</t>
  </si>
  <si>
    <t>30 / - / 177 / CAN1_TX</t>
  </si>
  <si>
    <t>PH_13</t>
  </si>
  <si>
    <t>I2S SDO</t>
  </si>
  <si>
    <t>88</t>
  </si>
  <si>
    <t>31 / - / 88 / I2S_SDO</t>
  </si>
  <si>
    <t>PI_3</t>
  </si>
  <si>
    <t>CAN1 RX</t>
  </si>
  <si>
    <t>178</t>
  </si>
  <si>
    <t>32 / - / 178 / CAN1_RX</t>
  </si>
  <si>
    <t>PB_8</t>
  </si>
  <si>
    <t>SPDIF TX</t>
  </si>
  <si>
    <t>131</t>
  </si>
  <si>
    <t>33 / - / 131 / SPDIF_TX</t>
  </si>
  <si>
    <t>SPDIF RX</t>
  </si>
  <si>
    <t>35 / - / 132 / SPDIF_RX</t>
  </si>
  <si>
    <t>PDM D0</t>
  </si>
  <si>
    <t>36 / - / - / PDM_D0</t>
  </si>
  <si>
    <t>PB_2</t>
  </si>
  <si>
    <t>GPIO0</t>
  </si>
  <si>
    <t>37 / - / 160 / GPIO0</t>
  </si>
  <si>
    <t>PC_13</t>
  </si>
  <si>
    <t>PDM D1</t>
  </si>
  <si>
    <t>38 / - / - / PDM_D1</t>
  </si>
  <si>
    <t>GPIO1</t>
  </si>
  <si>
    <t>39 / - / 161 / GPIO1</t>
  </si>
  <si>
    <t>PC_15</t>
  </si>
  <si>
    <t>GPIO6</t>
  </si>
  <si>
    <t>40 / - / 166 / GPIO6</t>
  </si>
  <si>
    <t>PG_10</t>
  </si>
  <si>
    <t>GPIO2</t>
  </si>
  <si>
    <t>41 / - / 162 / GPIO2</t>
  </si>
  <si>
    <t>PD_4</t>
  </si>
  <si>
    <t>GPIO5</t>
  </si>
  <si>
    <t>42 / - / 165 / GPIO5</t>
  </si>
  <si>
    <t>PG_3</t>
  </si>
  <si>
    <t>GPIO3</t>
  </si>
  <si>
    <t>43 / - / 163 / GPIO3</t>
  </si>
  <si>
    <t>PD_5</t>
  </si>
  <si>
    <t>GPIO4</t>
  </si>
  <si>
    <t>44 / - / 164 / GPIO4</t>
  </si>
  <si>
    <t>PE_3</t>
  </si>
  <si>
    <t>Breakout Header (J15)</t>
  </si>
  <si>
    <t>Analog 0 [A0]</t>
  </si>
  <si>
    <t>167</t>
  </si>
  <si>
    <t>53 / - / 167 / A0</t>
  </si>
  <si>
    <t>PA_0C / A0</t>
  </si>
  <si>
    <t>SPI0 CS</t>
  </si>
  <si>
    <t>141</t>
  </si>
  <si>
    <t>54 / - / 141 / SPI0_CS</t>
  </si>
  <si>
    <t>Analog 1 [A1]</t>
  </si>
  <si>
    <t>168</t>
  </si>
  <si>
    <t>55 / - / 168 / A1</t>
  </si>
  <si>
    <t>PA_1C / A1</t>
  </si>
  <si>
    <t>SPI0 SCLK</t>
  </si>
  <si>
    <t>138</t>
  </si>
  <si>
    <t>56 / - / 138 / SPI0_SCLK</t>
  </si>
  <si>
    <t>Analog 2 [A2[</t>
  </si>
  <si>
    <t>169</t>
  </si>
  <si>
    <t>57 / - / 169 / A2</t>
  </si>
  <si>
    <t>PC_2C / A2</t>
  </si>
  <si>
    <t>SPI0 CIPO</t>
  </si>
  <si>
    <t>140</t>
  </si>
  <si>
    <t>58 / - / 140 / SPI0_CIPO</t>
  </si>
  <si>
    <t>Analog 3 [A3[</t>
  </si>
  <si>
    <t>170</t>
  </si>
  <si>
    <t>59 / - / 170 / A3</t>
  </si>
  <si>
    <t>PC_3C / A3</t>
  </si>
  <si>
    <t>SPI0 COPI</t>
  </si>
  <si>
    <t>139</t>
  </si>
  <si>
    <t>60 / - / 139 / SPI0_COPI</t>
  </si>
  <si>
    <t>Analog 4 [A4]</t>
  </si>
  <si>
    <t>171</t>
  </si>
  <si>
    <t>61 / - / 171 / A4</t>
  </si>
  <si>
    <t>PC_2 / A4</t>
  </si>
  <si>
    <t>SPI1 CS</t>
  </si>
  <si>
    <t>137</t>
  </si>
  <si>
    <t>62 / - / 137 / SPI1_CS</t>
  </si>
  <si>
    <t>PI_0</t>
  </si>
  <si>
    <t>Analog 5 [A5]</t>
  </si>
  <si>
    <t>172</t>
  </si>
  <si>
    <t>63 / - / 172 / A5</t>
  </si>
  <si>
    <t>PC_3 / A5</t>
  </si>
  <si>
    <t>SPI1 SCLK</t>
  </si>
  <si>
    <t>134</t>
  </si>
  <si>
    <t>64 / - / 134 / SPI1_SCLK</t>
  </si>
  <si>
    <t>Analog 6 [A6]</t>
  </si>
  <si>
    <t>173</t>
  </si>
  <si>
    <t>65 / - / 173 / A6</t>
  </si>
  <si>
    <t>PA_4 / A6</t>
  </si>
  <si>
    <t>SPI1 CIPO</t>
  </si>
  <si>
    <t>136</t>
  </si>
  <si>
    <t>66 / - / 136 / SPI1_CIPO</t>
  </si>
  <si>
    <t>PC_2</t>
  </si>
  <si>
    <t>Analog 7 [A7]</t>
  </si>
  <si>
    <t>174</t>
  </si>
  <si>
    <t>67 / - / 174 / A7</t>
  </si>
  <si>
    <t>PA_6 / A7</t>
  </si>
  <si>
    <t>SPI1 COPI</t>
  </si>
  <si>
    <t>135</t>
  </si>
  <si>
    <t>68 / - / 135 / SPI1_COPI</t>
  </si>
  <si>
    <t>PC_3</t>
  </si>
  <si>
    <t>PWM0</t>
  </si>
  <si>
    <t>183</t>
  </si>
  <si>
    <t>69 / - / 183 / PWM0</t>
  </si>
  <si>
    <t>I2C0 SDA</t>
  </si>
  <si>
    <t>147</t>
  </si>
  <si>
    <t>70 / - / 147 / I2C0_SDA</t>
  </si>
  <si>
    <t>PH_15</t>
  </si>
  <si>
    <t>PWM1</t>
  </si>
  <si>
    <t>184</t>
  </si>
  <si>
    <t>71 / - / 184 / PWM1</t>
  </si>
  <si>
    <t>PC_6</t>
  </si>
  <si>
    <t>I2C0 SCL</t>
  </si>
  <si>
    <t>146</t>
  </si>
  <si>
    <t>72 / - / 146 / I2C0_SCL</t>
  </si>
  <si>
    <t>PWM2</t>
  </si>
  <si>
    <t>185</t>
  </si>
  <si>
    <t>73 / - / 185 / PWM2</t>
  </si>
  <si>
    <t>I2C1 SDA</t>
  </si>
  <si>
    <t>145</t>
  </si>
  <si>
    <t>74 / - / 145 / I2C1_SDA</t>
  </si>
  <si>
    <t>PB_7</t>
  </si>
  <si>
    <t>PWM3</t>
  </si>
  <si>
    <t>186</t>
  </si>
  <si>
    <t>75 / - / 186 / PWM3</t>
  </si>
  <si>
    <t>PG_7</t>
  </si>
  <si>
    <t>I2C1 SCL</t>
  </si>
  <si>
    <t>144</t>
  </si>
  <si>
    <t>76 / - / 144 / I2C1_SCL</t>
  </si>
  <si>
    <t>PB_6</t>
  </si>
  <si>
    <t>PWM4</t>
  </si>
  <si>
    <t>77 / - / 187 / PWM4</t>
  </si>
  <si>
    <t>PJ_11</t>
  </si>
  <si>
    <t>I2C2 SDA</t>
  </si>
  <si>
    <t>78 / - / 149 / I2C2_SDA</t>
  </si>
  <si>
    <t>PH_12</t>
  </si>
  <si>
    <t>PWM5</t>
  </si>
  <si>
    <t>79 / - / 188 / PWM5</t>
  </si>
  <si>
    <t>PK_1</t>
  </si>
  <si>
    <t>I2C2 SCL</t>
  </si>
  <si>
    <t>80 / - / 148 / I2C2_SCL</t>
  </si>
  <si>
    <t>PH_11</t>
  </si>
  <si>
    <t>PWM6</t>
  </si>
  <si>
    <t>81 / - / 189 / PWM6</t>
  </si>
  <si>
    <t>SAI CLK</t>
  </si>
  <si>
    <t>82 / - / 107 / SAI_CLK</t>
  </si>
  <si>
    <t>PI_5</t>
  </si>
  <si>
    <t>PWM7</t>
  </si>
  <si>
    <t>83 / - / 190 / PWM7</t>
  </si>
  <si>
    <t>PJ_7</t>
  </si>
  <si>
    <t>SAI FS</t>
  </si>
  <si>
    <t>84 / - / 106 / SAI_FS</t>
  </si>
  <si>
    <t>PI_7</t>
  </si>
  <si>
    <t>PWM8</t>
  </si>
  <si>
    <t>85 / - / 191 / PWM8</t>
  </si>
  <si>
    <t>PJ_10</t>
  </si>
  <si>
    <t>SAI D0</t>
  </si>
  <si>
    <t>86 / - / 108 / SAI_D0</t>
  </si>
  <si>
    <t>PI_6</t>
  </si>
  <si>
    <t>PWM9</t>
  </si>
  <si>
    <t>87 / - / 192 / PWM9</t>
  </si>
  <si>
    <t>PH_6</t>
  </si>
  <si>
    <t>SAI D1</t>
  </si>
  <si>
    <t>88 / - / 115 / SAI_D1</t>
  </si>
  <si>
    <t>H7 pin number</t>
  </si>
  <si>
    <t>PI_667</t>
  </si>
  <si>
    <t>PH_5</t>
  </si>
  <si>
    <t>Column1</t>
  </si>
  <si>
    <t>PH_7</t>
  </si>
  <si>
    <t>PH_8</t>
  </si>
  <si>
    <t>PH_9</t>
  </si>
  <si>
    <t>PH_10</t>
  </si>
  <si>
    <t>PH_14</t>
  </si>
  <si>
    <t>PI_4</t>
  </si>
  <si>
    <t>PI_10</t>
  </si>
  <si>
    <t>PI_11</t>
  </si>
  <si>
    <t>PI_12</t>
  </si>
  <si>
    <t>PJ_0</t>
  </si>
  <si>
    <t>PJ_1</t>
  </si>
  <si>
    <t>PJ_2</t>
  </si>
  <si>
    <t>PJ_3</t>
  </si>
  <si>
    <t>PJ_4</t>
  </si>
  <si>
    <t>PJ_5</t>
  </si>
  <si>
    <t>PJ_6</t>
  </si>
  <si>
    <t>PJ_12</t>
  </si>
  <si>
    <t>PJ_13</t>
  </si>
  <si>
    <t>PJ_14</t>
  </si>
  <si>
    <t>PJ_15</t>
  </si>
  <si>
    <t>PK_0</t>
  </si>
  <si>
    <t>PK_2</t>
  </si>
  <si>
    <t>PK_3</t>
  </si>
  <si>
    <t>PK_4</t>
  </si>
  <si>
    <t>PK_5</t>
  </si>
  <si>
    <t>PK_6</t>
  </si>
  <si>
    <t>Column2</t>
  </si>
  <si>
    <t>PA_1</t>
  </si>
  <si>
    <t>PA_2</t>
  </si>
  <si>
    <t>PA_3</t>
  </si>
  <si>
    <t>PA_4</t>
  </si>
  <si>
    <t>PA_5</t>
  </si>
  <si>
    <t>PA_6</t>
  </si>
  <si>
    <t>PA_7</t>
  </si>
  <si>
    <t>PA_12</t>
  </si>
  <si>
    <t>PA_13</t>
  </si>
  <si>
    <t>PA_14</t>
  </si>
  <si>
    <t>PA_15</t>
  </si>
  <si>
    <t>PB_0</t>
  </si>
  <si>
    <t>PB_1</t>
  </si>
  <si>
    <t>PB_3</t>
  </si>
  <si>
    <t>PB_4</t>
  </si>
  <si>
    <t>PB_5</t>
  </si>
  <si>
    <t>PB_11</t>
  </si>
  <si>
    <t>PB_12</t>
  </si>
  <si>
    <t>PB_13</t>
  </si>
  <si>
    <t>PB_14</t>
  </si>
  <si>
    <t>PB_15</t>
  </si>
  <si>
    <t>PC_0</t>
  </si>
  <si>
    <t>PC_1</t>
  </si>
  <si>
    <t>PC_4</t>
  </si>
  <si>
    <t>PC_5</t>
  </si>
  <si>
    <t>PC_8</t>
  </si>
  <si>
    <t>PC_9</t>
  </si>
  <si>
    <t>PC_10</t>
  </si>
  <si>
    <t>PC_11</t>
  </si>
  <si>
    <t>PC_12</t>
  </si>
  <si>
    <t>PC_14</t>
  </si>
  <si>
    <t>PD_0</t>
  </si>
  <si>
    <t>PD_1</t>
  </si>
  <si>
    <t>PD_2</t>
  </si>
  <si>
    <t>PD_6</t>
  </si>
  <si>
    <t>PD_7</t>
  </si>
  <si>
    <t>PD_8</t>
  </si>
  <si>
    <t>PD_9</t>
  </si>
  <si>
    <t>PD_10</t>
  </si>
  <si>
    <t>PD_11</t>
  </si>
  <si>
    <t>PD_12</t>
  </si>
  <si>
    <t>PD_13</t>
  </si>
  <si>
    <t>PD_14</t>
  </si>
  <si>
    <t>PE_0</t>
  </si>
  <si>
    <t>PE_1</t>
  </si>
  <si>
    <t>PE_2</t>
  </si>
  <si>
    <t>PE_4</t>
  </si>
  <si>
    <t>PE_5</t>
  </si>
  <si>
    <t>PE_6</t>
  </si>
  <si>
    <t>PE_7</t>
  </si>
  <si>
    <t>PE_8</t>
  </si>
  <si>
    <t>PE_9</t>
  </si>
  <si>
    <t>PE_10</t>
  </si>
  <si>
    <t>PE_12</t>
  </si>
  <si>
    <t>PE_13</t>
  </si>
  <si>
    <t>PE_14</t>
  </si>
  <si>
    <t>PE_15</t>
  </si>
  <si>
    <t>PF_0</t>
  </si>
  <si>
    <t>PF_1</t>
  </si>
  <si>
    <t>PF_2</t>
  </si>
  <si>
    <t>PF_3</t>
  </si>
  <si>
    <t>PF_4</t>
  </si>
  <si>
    <t>PF_5</t>
  </si>
  <si>
    <t>PF_6</t>
  </si>
  <si>
    <t>PF_7</t>
  </si>
  <si>
    <t>PF_8</t>
  </si>
  <si>
    <t>PF_9</t>
  </si>
  <si>
    <t>PF_10</t>
  </si>
  <si>
    <t>PF_11</t>
  </si>
  <si>
    <t>PF_12</t>
  </si>
  <si>
    <t>PF_13</t>
  </si>
  <si>
    <t>PF_14</t>
  </si>
  <si>
    <t>PF_15</t>
  </si>
  <si>
    <t>PG_0</t>
  </si>
  <si>
    <t>PG_1</t>
  </si>
  <si>
    <t>PG_2</t>
  </si>
  <si>
    <t>PG_4</t>
  </si>
  <si>
    <t>PG_5</t>
  </si>
  <si>
    <t>PG_6</t>
  </si>
  <si>
    <t>PG_8</t>
  </si>
  <si>
    <t>PG_11</t>
  </si>
  <si>
    <t>PG_12</t>
  </si>
  <si>
    <t>PG_13</t>
  </si>
  <si>
    <t>PG_15</t>
  </si>
  <si>
    <t>PH_0</t>
  </si>
  <si>
    <t>PH_1</t>
  </si>
  <si>
    <t>PH_2</t>
  </si>
  <si>
    <t>PH_3</t>
  </si>
  <si>
    <t>PH_4</t>
  </si>
  <si>
    <t>PK_7</t>
  </si>
  <si>
    <t>40-Pins Connector Compatible With Raspberry Pi® HATs (J5)</t>
  </si>
  <si>
    <t>149</t>
  </si>
  <si>
    <t>3 / 2 / 149 / I2C2_SDA</t>
  </si>
  <si>
    <t>148</t>
  </si>
  <si>
    <t>5 / 3 / 148 / I2C2_SCL</t>
  </si>
  <si>
    <t>PWM0_x000D_
[1WIRE]</t>
  </si>
  <si>
    <t>7 / 4 / 183 / PWM0</t>
  </si>
  <si>
    <t>8 / 14 / 157 / TX3</t>
  </si>
  <si>
    <t>10 / 15 / 156 / RX3</t>
  </si>
  <si>
    <t>162</t>
  </si>
  <si>
    <t>11 / 17 / - / GPIO2</t>
  </si>
  <si>
    <t>I2S CK_x000D_
[PCM_CLK]</t>
  </si>
  <si>
    <t>12 / 18 / 87 / I2S_CK</t>
  </si>
  <si>
    <t>166</t>
  </si>
  <si>
    <t>13 / 27 / - / GPIO6</t>
  </si>
  <si>
    <t>SAI D0_x000D_
(OUTPUT ONLY)</t>
  </si>
  <si>
    <t>108</t>
  </si>
  <si>
    <t>15 / 22 / 108 / SAI_D0</t>
  </si>
  <si>
    <t>SAI CK_x000D_
(OUTPUT ONLY)</t>
  </si>
  <si>
    <t>107</t>
  </si>
  <si>
    <t>16 / 23 / 107 / SAI_CK</t>
  </si>
  <si>
    <t>SAI FS_x000D_
(OUTPUT ONLY)</t>
  </si>
  <si>
    <t>106</t>
  </si>
  <si>
    <t>18 / 24 / 106 / SAI_FS</t>
  </si>
  <si>
    <t>SPI1 COPI_x000D_
(DTB Activated)</t>
  </si>
  <si>
    <t>19 / 10 / 135 / SPI1_COPI</t>
  </si>
  <si>
    <t>SPI1 CIPO_x000D_
(DTB Activated)</t>
  </si>
  <si>
    <t>21 / 9 / 136 / SPIO1_CIPO</t>
  </si>
  <si>
    <t>22 / 25 / 184 / PWM1</t>
  </si>
  <si>
    <t>SPI1 SCK_x000D_
(DTB Activated)</t>
  </si>
  <si>
    <t>23 / 11 / 134 / SPI1_SCK</t>
  </si>
  <si>
    <t>SPI1 CE_x000D_
[SPI1_CE0_N]_x000D_
(DTB Activated)</t>
  </si>
  <si>
    <t>24 / 8 / 137 / SPI1_CE</t>
  </si>
  <si>
    <t>PWM2_x000D_
[SPI1_CE1_N]</t>
  </si>
  <si>
    <t>26 / 7 / 185 / PWM2</t>
  </si>
  <si>
    <t>27 / - / 147 / I2C0_SDA</t>
  </si>
  <si>
    <t>28 / - / 146 / I2C0_SCL</t>
  </si>
  <si>
    <t>29 / 5 / 127 / RX1</t>
  </si>
  <si>
    <t>31 / 6 / 186 / PWM3</t>
  </si>
  <si>
    <t>31 / 12 / 128 / TX1</t>
  </si>
  <si>
    <t>33 / 13 / 187 / PWM4</t>
  </si>
  <si>
    <t>35 / 19 / 86 / I2S_WS</t>
  </si>
  <si>
    <t>36 / 16 / 188 / PWM5</t>
  </si>
  <si>
    <t>37 / 26 / 189 / PWM6</t>
  </si>
  <si>
    <t>38 / 20 / 85 / I2S_SDI</t>
  </si>
  <si>
    <t>40 / 21 / 88 / I2S_SDO</t>
  </si>
  <si>
    <t>Analog 16-Pin Header (J6)</t>
  </si>
  <si>
    <t>A0</t>
  </si>
  <si>
    <t>A1</t>
  </si>
  <si>
    <t>A2</t>
  </si>
  <si>
    <t>A3</t>
  </si>
  <si>
    <t>A4</t>
  </si>
  <si>
    <t>A5</t>
  </si>
  <si>
    <t>A6</t>
  </si>
  <si>
    <t>A7</t>
  </si>
  <si>
    <t>190</t>
  </si>
  <si>
    <t>191</t>
  </si>
  <si>
    <t>GPIO0_x000D_
[PWM4 Silkscreen]</t>
  </si>
  <si>
    <t>160</t>
  </si>
  <si>
    <t>On-Board Element</t>
  </si>
  <si>
    <t>GPIO3 (User LED)</t>
  </si>
  <si>
    <t>163</t>
  </si>
  <si>
    <t>PWM Male Header Connector For Fan Control (J11)</t>
  </si>
  <si>
    <t>192</t>
  </si>
  <si>
    <t>Arduino H7 Pin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</si>
</sst>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3" tint="0.899960325937681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2" borderId="0" xfId="0" applyFill="1"/>
    <xf numFmtId="0" fontId="1" fillId="3" borderId="0" xfId="0" applyFont="1" applyFill="1"/>
    <xf numFmtId="0" fontId="0" fillId="3" borderId="0" xfId="0" applyFill="1"/>
    <xf numFmtId="0" fontId="1" fillId="2" borderId="0" xfId="0" applyFont="1" applyFill="1" applyAlignment="1">
      <alignment wrapText="1"/>
    </xf>
    <xf numFmtId="0" fontId="0" fillId="2" borderId="0" xfId="0" applyFill="1" applyAlignment="1">
      <alignment wrapText="1"/>
    </xf>
    <xf numFmtId="0" fontId="1" fillId="3" borderId="0" xfId="0" applyFont="1" applyFill="1" applyAlignment="1">
      <alignment wrapText="1"/>
    </xf>
    <xf numFmtId="0" fontId="0" fillId="3" borderId="0" xfId="0" applyFill="1" applyAlignment="1">
      <alignment wrapText="1"/>
    </xf>
    <xf numFmtId="0" fontId="1" fillId="0" borderId="0" xfId="0" applyFont="1" applyAlignment="1">
      <alignment horizontal="justify"/>
    </xf>
    <xf numFmtId="0" fontId="1" fillId="0" borderId="0" xfId="0" applyNumberFormat="1" applyFont="1" applyAlignment="1">
      <alignment horizontal="justify"/>
    </xf>
    <xf numFmtId="0" fontId="1" fillId="0" borderId="0" xfId="0" applyNumberFormat="1" applyFont="1"/>
  </cellXfs>
  <cellStyles count="1">
    <cellStyle name="Normal" xfId="0" builtinId="0"/>
  </cellStyles>
  <dxfs count="4"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674CA57-CAD3-4195-A660-A5F64CE72A80}" name="foo__2" displayName="foo__2" ref="A1:B171" totalsRowShown="0">
  <autoFilter ref="A1:B171" xr:uid="{8674CA57-CAD3-4195-A660-A5F64CE72A80}"/>
  <tableColumns count="2">
    <tableColumn id="1" xr3:uid="{37D989A3-3AD9-443B-BF4D-D393B5A7D996}" name="Column1" dataDxfId="3"/>
    <tableColumn id="2" xr3:uid="{FB3C12CE-EFD4-4F46-8B13-8D5A5CFA3A7B}" name="Column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292B5A-5DC5-43A8-89BD-6B12092EF2E8}">
  <dimension ref="A1:H77"/>
  <sheetViews>
    <sheetView tabSelected="1" topLeftCell="A53" workbookViewId="0">
      <selection activeCell="A65" sqref="A65"/>
    </sheetView>
  </sheetViews>
  <sheetFormatPr defaultRowHeight="15" x14ac:dyDescent="0.25"/>
  <cols>
    <col min="1" max="1" width="12" bestFit="1" customWidth="1"/>
    <col min="2" max="2" width="11.42578125" bestFit="1" customWidth="1"/>
    <col min="3" max="3" width="18.85546875" bestFit="1" customWidth="1"/>
    <col min="4" max="4" width="50.7109375" bestFit="1" customWidth="1"/>
    <col min="5" max="5" width="21.42578125" bestFit="1" customWidth="1"/>
    <col min="6" max="6" width="11.42578125" bestFit="1" customWidth="1"/>
    <col min="7" max="7" width="11.42578125" customWidth="1"/>
    <col min="8" max="8" width="12.28515625" bestFit="1" customWidth="1"/>
  </cols>
  <sheetData>
    <row r="1" spans="1:8" x14ac:dyDescent="0.25">
      <c r="A1" s="1" t="s">
        <v>0</v>
      </c>
    </row>
    <row r="2" spans="1:8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256</v>
      </c>
      <c r="H2" s="1" t="s">
        <v>7</v>
      </c>
    </row>
    <row r="3" spans="1:8" x14ac:dyDescent="0.25">
      <c r="A3" s="12">
        <v>3</v>
      </c>
      <c r="B3" s="1" t="s">
        <v>8</v>
      </c>
      <c r="C3" s="1" t="s">
        <v>9</v>
      </c>
      <c r="D3" s="1" t="s">
        <v>10</v>
      </c>
      <c r="E3" s="1" t="s">
        <v>11</v>
      </c>
      <c r="F3" s="1" t="s">
        <v>12</v>
      </c>
      <c r="G3" s="11">
        <f>_xlfn.XLOOKUP(F3, pin_name_table!$A$2:$A$171,pin_name_table!$B$2:$B$171,"")</f>
        <v>9</v>
      </c>
      <c r="H3" s="12">
        <v>51</v>
      </c>
    </row>
    <row r="4" spans="1:8" x14ac:dyDescent="0.25">
      <c r="A4" s="12">
        <v>4</v>
      </c>
      <c r="B4" s="1" t="s">
        <v>13</v>
      </c>
      <c r="C4" s="1" t="s">
        <v>14</v>
      </c>
      <c r="D4" s="1" t="s">
        <v>15</v>
      </c>
      <c r="E4" s="1" t="s">
        <v>16</v>
      </c>
      <c r="F4" s="1" t="s">
        <v>17</v>
      </c>
      <c r="G4" s="11">
        <f>_xlfn.XLOOKUP(F4, pin_name_table!$A$2:$A$171,pin_name_table!$B$2:$B$171,"")</f>
        <v>71</v>
      </c>
      <c r="H4" s="12">
        <v>61</v>
      </c>
    </row>
    <row r="5" spans="1:8" x14ac:dyDescent="0.25">
      <c r="A5" s="12">
        <v>7</v>
      </c>
      <c r="B5" s="1" t="s">
        <v>18</v>
      </c>
      <c r="C5" s="1" t="s">
        <v>19</v>
      </c>
      <c r="D5" s="1" t="s">
        <v>20</v>
      </c>
      <c r="E5" s="1" t="s">
        <v>16</v>
      </c>
      <c r="F5" s="1" t="s">
        <v>21</v>
      </c>
      <c r="G5" s="11">
        <f>_xlfn.XLOOKUP(F5, pin_name_table!$A$2:$A$171,pin_name_table!$B$2:$B$171,"")</f>
        <v>68</v>
      </c>
      <c r="H5" s="12">
        <v>50</v>
      </c>
    </row>
    <row r="6" spans="1:8" x14ac:dyDescent="0.25">
      <c r="A6" s="12">
        <v>8</v>
      </c>
      <c r="B6" s="1" t="s">
        <v>22</v>
      </c>
      <c r="C6" s="1" t="s">
        <v>23</v>
      </c>
      <c r="D6" s="1" t="s">
        <v>24</v>
      </c>
      <c r="E6" s="1" t="s">
        <v>25</v>
      </c>
      <c r="F6" s="1" t="s">
        <v>26</v>
      </c>
      <c r="G6" s="11">
        <f>_xlfn.XLOOKUP(F6, pin_name_table!$A$2:$A$171,pin_name_table!$B$2:$B$171,"")</f>
        <v>13</v>
      </c>
      <c r="H6" s="12">
        <v>13</v>
      </c>
    </row>
    <row r="7" spans="1:8" x14ac:dyDescent="0.25">
      <c r="A7" s="12">
        <v>9</v>
      </c>
      <c r="B7" s="1" t="s">
        <v>27</v>
      </c>
      <c r="C7" s="1" t="s">
        <v>28</v>
      </c>
      <c r="D7" s="1" t="s">
        <v>29</v>
      </c>
      <c r="E7" s="1" t="s">
        <v>16</v>
      </c>
      <c r="F7" s="1" t="s">
        <v>30</v>
      </c>
      <c r="G7" s="11">
        <f>_xlfn.XLOOKUP(F7, pin_name_table!$A$2:$A$171,pin_name_table!$B$2:$B$171,"")</f>
        <v>27</v>
      </c>
      <c r="H7" s="12">
        <v>49</v>
      </c>
    </row>
    <row r="8" spans="1:8" x14ac:dyDescent="0.25">
      <c r="A8" s="12">
        <v>10</v>
      </c>
      <c r="B8" s="1" t="s">
        <v>31</v>
      </c>
      <c r="C8" s="1" t="s">
        <v>32</v>
      </c>
      <c r="D8" s="1" t="s">
        <v>33</v>
      </c>
      <c r="E8" s="1" t="s">
        <v>16</v>
      </c>
      <c r="F8" s="1" t="s">
        <v>34</v>
      </c>
      <c r="G8" s="11">
        <f>_xlfn.XLOOKUP(F8, pin_name_table!$A$2:$A$171,pin_name_table!$B$2:$B$171,"")</f>
        <v>14</v>
      </c>
      <c r="H8" s="12">
        <v>14</v>
      </c>
    </row>
    <row r="9" spans="1:8" x14ac:dyDescent="0.25">
      <c r="A9" s="12">
        <v>11</v>
      </c>
      <c r="B9" s="1" t="s">
        <v>35</v>
      </c>
      <c r="C9" s="1" t="s">
        <v>36</v>
      </c>
      <c r="D9" s="1" t="s">
        <v>37</v>
      </c>
      <c r="E9" s="1" t="s">
        <v>16</v>
      </c>
      <c r="F9" s="1" t="s">
        <v>38</v>
      </c>
      <c r="G9" s="11">
        <f>_xlfn.XLOOKUP(F9, pin_name_table!$A$2:$A$171,pin_name_table!$B$2:$B$171,"")</f>
        <v>70</v>
      </c>
      <c r="H9" s="12">
        <v>52</v>
      </c>
    </row>
    <row r="10" spans="1:8" x14ac:dyDescent="0.25">
      <c r="A10" s="12">
        <v>12</v>
      </c>
      <c r="B10" s="1" t="s">
        <v>39</v>
      </c>
      <c r="C10" s="1" t="s">
        <v>40</v>
      </c>
      <c r="D10" s="1" t="s">
        <v>41</v>
      </c>
      <c r="E10" s="1" t="s">
        <v>16</v>
      </c>
      <c r="F10" s="1" t="s">
        <v>42</v>
      </c>
      <c r="G10" s="11">
        <f>_xlfn.XLOOKUP(F10, pin_name_table!$A$2:$A$171,pin_name_table!$B$2:$B$171,"")</f>
        <v>72</v>
      </c>
      <c r="H10" s="12">
        <v>62</v>
      </c>
    </row>
    <row r="11" spans="1:8" x14ac:dyDescent="0.25">
      <c r="A11" s="12">
        <v>15</v>
      </c>
      <c r="B11" s="1" t="s">
        <v>43</v>
      </c>
      <c r="C11" s="1" t="s">
        <v>44</v>
      </c>
      <c r="D11" s="1" t="s">
        <v>45</v>
      </c>
      <c r="E11" s="1" t="s">
        <v>16</v>
      </c>
      <c r="F11" s="1" t="s">
        <v>16</v>
      </c>
      <c r="G11" s="11" t="str">
        <f>_xlfn.XLOOKUP(F11, pin_name_table!$A$2:$A$171,pin_name_table!$B$2:$B$171,"")</f>
        <v/>
      </c>
      <c r="H11" s="12">
        <v>51</v>
      </c>
    </row>
    <row r="12" spans="1:8" x14ac:dyDescent="0.25">
      <c r="A12" s="12">
        <v>16</v>
      </c>
      <c r="B12" s="1" t="s">
        <v>46</v>
      </c>
      <c r="C12" s="1" t="s">
        <v>44</v>
      </c>
      <c r="D12" s="1" t="s">
        <v>47</v>
      </c>
      <c r="E12" s="1" t="s">
        <v>16</v>
      </c>
      <c r="F12" s="1" t="s">
        <v>16</v>
      </c>
      <c r="G12" s="11" t="str">
        <f>_xlfn.XLOOKUP(F12, pin_name_table!$A$2:$A$171,pin_name_table!$B$2:$B$171,"")</f>
        <v/>
      </c>
      <c r="H12" s="12">
        <v>55</v>
      </c>
    </row>
    <row r="13" spans="1:8" x14ac:dyDescent="0.25">
      <c r="A13" s="12">
        <v>19</v>
      </c>
      <c r="B13" s="1" t="s">
        <v>48</v>
      </c>
      <c r="C13" s="1" t="s">
        <v>49</v>
      </c>
      <c r="D13" s="1" t="s">
        <v>50</v>
      </c>
      <c r="E13" s="1" t="s">
        <v>16</v>
      </c>
      <c r="F13" s="1" t="s">
        <v>51</v>
      </c>
      <c r="G13" s="11">
        <f>_xlfn.XLOOKUP(F13, pin_name_table!$A$2:$A$171,pin_name_table!$B$2:$B$171,"")</f>
        <v>51</v>
      </c>
      <c r="H13" s="12">
        <v>50</v>
      </c>
    </row>
    <row r="14" spans="1:8" x14ac:dyDescent="0.25">
      <c r="A14" s="12">
        <v>20</v>
      </c>
      <c r="B14" s="1" t="s">
        <v>52</v>
      </c>
      <c r="C14" s="1" t="s">
        <v>53</v>
      </c>
      <c r="D14" s="1" t="s">
        <v>54</v>
      </c>
      <c r="E14" s="1" t="s">
        <v>16</v>
      </c>
      <c r="F14" s="1" t="s">
        <v>55</v>
      </c>
      <c r="G14" s="11">
        <f>_xlfn.XLOOKUP(F14, pin_name_table!$A$2:$A$171,pin_name_table!$B$2:$B$171,"")</f>
        <v>76</v>
      </c>
      <c r="H14" s="12">
        <v>54</v>
      </c>
    </row>
    <row r="15" spans="1:8" x14ac:dyDescent="0.25">
      <c r="A15" s="12">
        <v>21</v>
      </c>
      <c r="B15" s="1" t="s">
        <v>56</v>
      </c>
      <c r="C15" s="1" t="s">
        <v>57</v>
      </c>
      <c r="D15" s="1" t="s">
        <v>58</v>
      </c>
      <c r="E15" s="1" t="s">
        <v>59</v>
      </c>
      <c r="F15" s="1" t="s">
        <v>60</v>
      </c>
      <c r="G15" s="11">
        <f>_xlfn.XLOOKUP(F15, pin_name_table!$A$2:$A$171,pin_name_table!$B$2:$B$171,"")</f>
        <v>53</v>
      </c>
      <c r="H15" s="12">
        <v>49</v>
      </c>
    </row>
    <row r="16" spans="1:8" x14ac:dyDescent="0.25">
      <c r="A16" s="12">
        <v>22</v>
      </c>
      <c r="B16" s="1" t="s">
        <v>61</v>
      </c>
      <c r="C16" s="1" t="s">
        <v>62</v>
      </c>
      <c r="D16" s="1" t="s">
        <v>63</v>
      </c>
      <c r="E16" s="1" t="s">
        <v>16</v>
      </c>
      <c r="F16" s="1" t="s">
        <v>64</v>
      </c>
      <c r="G16" s="11">
        <f>_xlfn.XLOOKUP(F16, pin_name_table!$A$2:$A$171,pin_name_table!$B$2:$B$171,"")</f>
        <v>75</v>
      </c>
      <c r="H16" s="12">
        <v>53</v>
      </c>
    </row>
    <row r="17" spans="1:8" x14ac:dyDescent="0.25">
      <c r="A17" s="12">
        <v>23</v>
      </c>
      <c r="B17" s="1" t="s">
        <v>65</v>
      </c>
      <c r="C17" s="1" t="s">
        <v>44</v>
      </c>
      <c r="D17" s="1" t="s">
        <v>66</v>
      </c>
      <c r="E17" s="1" t="s">
        <v>67</v>
      </c>
      <c r="F17" s="1" t="s">
        <v>16</v>
      </c>
      <c r="G17" s="11" t="str">
        <f>_xlfn.XLOOKUP(F17, pin_name_table!$A$2:$A$171,pin_name_table!$B$2:$B$171,"")</f>
        <v/>
      </c>
      <c r="H17" s="12">
        <v>52</v>
      </c>
    </row>
    <row r="18" spans="1:8" x14ac:dyDescent="0.25">
      <c r="A18" s="12">
        <v>24</v>
      </c>
      <c r="B18" s="1" t="s">
        <v>68</v>
      </c>
      <c r="C18" s="1" t="s">
        <v>44</v>
      </c>
      <c r="D18" s="1" t="s">
        <v>69</v>
      </c>
      <c r="E18" s="1" t="s">
        <v>16</v>
      </c>
      <c r="F18" s="1" t="s">
        <v>16</v>
      </c>
      <c r="G18" s="11" t="str">
        <f>_xlfn.XLOOKUP(F18, pin_name_table!$A$2:$A$171,pin_name_table!$B$2:$B$171,"")</f>
        <v/>
      </c>
      <c r="H18" s="12">
        <v>56</v>
      </c>
    </row>
    <row r="19" spans="1:8" x14ac:dyDescent="0.25">
      <c r="A19" s="12">
        <v>25</v>
      </c>
      <c r="B19" s="1" t="s">
        <v>70</v>
      </c>
      <c r="C19" s="1" t="s">
        <v>71</v>
      </c>
      <c r="D19" s="1" t="s">
        <v>72</v>
      </c>
      <c r="E19" s="1" t="s">
        <v>73</v>
      </c>
      <c r="F19" s="1" t="s">
        <v>74</v>
      </c>
      <c r="G19" s="11">
        <f>_xlfn.XLOOKUP(F19, pin_name_table!$A$2:$A$171,pin_name_table!$B$2:$B$171,"")</f>
        <v>43</v>
      </c>
      <c r="H19" s="12">
        <v>63</v>
      </c>
    </row>
    <row r="20" spans="1:8" x14ac:dyDescent="0.25">
      <c r="A20" s="12">
        <v>26</v>
      </c>
      <c r="B20" s="1" t="s">
        <v>75</v>
      </c>
      <c r="C20" s="1" t="s">
        <v>76</v>
      </c>
      <c r="D20" s="1" t="s">
        <v>77</v>
      </c>
      <c r="E20" s="1" t="s">
        <v>78</v>
      </c>
      <c r="F20" s="1" t="s">
        <v>16</v>
      </c>
      <c r="G20" s="11" t="str">
        <f>_xlfn.XLOOKUP(F20, pin_name_table!$A$2:$A$171,pin_name_table!$B$2:$B$171,"")</f>
        <v/>
      </c>
      <c r="H20" s="12">
        <v>42</v>
      </c>
    </row>
    <row r="21" spans="1:8" x14ac:dyDescent="0.25">
      <c r="A21" s="12">
        <v>27</v>
      </c>
      <c r="B21" s="1" t="s">
        <v>79</v>
      </c>
      <c r="C21" s="1" t="s">
        <v>80</v>
      </c>
      <c r="D21" s="1" t="s">
        <v>81</v>
      </c>
      <c r="E21" s="1" t="s">
        <v>16</v>
      </c>
      <c r="F21" s="1" t="s">
        <v>82</v>
      </c>
      <c r="G21" s="11">
        <f>_xlfn.XLOOKUP(F21, pin_name_table!$A$2:$A$171,pin_name_table!$B$2:$B$171,"")</f>
        <v>38</v>
      </c>
      <c r="H21" s="12">
        <v>64</v>
      </c>
    </row>
    <row r="22" spans="1:8" x14ac:dyDescent="0.25">
      <c r="A22" s="12">
        <v>28</v>
      </c>
      <c r="B22" s="1" t="s">
        <v>83</v>
      </c>
      <c r="C22" s="1" t="s">
        <v>84</v>
      </c>
      <c r="D22" s="1" t="s">
        <v>85</v>
      </c>
      <c r="E22" s="1" t="s">
        <v>16</v>
      </c>
      <c r="F22" s="1" t="s">
        <v>16</v>
      </c>
      <c r="G22" s="11" t="str">
        <f>_xlfn.XLOOKUP(F22, pin_name_table!$A$2:$A$171,pin_name_table!$B$2:$B$171,"")</f>
        <v/>
      </c>
      <c r="H22" s="12">
        <v>41</v>
      </c>
    </row>
    <row r="23" spans="1:8" x14ac:dyDescent="0.25">
      <c r="A23" s="12">
        <v>29</v>
      </c>
      <c r="B23" s="1" t="s">
        <v>86</v>
      </c>
      <c r="C23" s="1" t="s">
        <v>87</v>
      </c>
      <c r="D23" s="1" t="s">
        <v>88</v>
      </c>
      <c r="E23" s="1" t="s">
        <v>16</v>
      </c>
      <c r="F23" s="1" t="s">
        <v>89</v>
      </c>
      <c r="G23" s="11">
        <f>_xlfn.XLOOKUP(F23, pin_name_table!$A$2:$A$171,pin_name_table!$B$2:$B$171,"")</f>
        <v>61</v>
      </c>
      <c r="H23" s="12">
        <v>65</v>
      </c>
    </row>
    <row r="24" spans="1:8" x14ac:dyDescent="0.25">
      <c r="A24" s="12">
        <v>30</v>
      </c>
      <c r="B24" s="1" t="s">
        <v>90</v>
      </c>
      <c r="C24" s="1" t="s">
        <v>91</v>
      </c>
      <c r="D24" s="1" t="s">
        <v>92</v>
      </c>
      <c r="E24" s="1" t="s">
        <v>16</v>
      </c>
      <c r="F24" s="1" t="s">
        <v>93</v>
      </c>
      <c r="G24" s="11">
        <f>_xlfn.XLOOKUP(F24, pin_name_table!$A$2:$A$171,pin_name_table!$B$2:$B$171,"")</f>
        <v>59</v>
      </c>
      <c r="H24" s="12">
        <v>44</v>
      </c>
    </row>
    <row r="25" spans="1:8" x14ac:dyDescent="0.25">
      <c r="A25" s="12">
        <v>31</v>
      </c>
      <c r="B25" s="1" t="s">
        <v>94</v>
      </c>
      <c r="C25" s="1" t="s">
        <v>95</v>
      </c>
      <c r="D25" s="1" t="s">
        <v>96</v>
      </c>
      <c r="E25" s="1" t="s">
        <v>16</v>
      </c>
      <c r="F25" s="1" t="s">
        <v>97</v>
      </c>
      <c r="G25" s="11">
        <f>_xlfn.XLOOKUP(F25, pin_name_table!$A$2:$A$171,pin_name_table!$B$2:$B$171,"")</f>
        <v>62</v>
      </c>
      <c r="H25" s="12">
        <v>66</v>
      </c>
    </row>
    <row r="26" spans="1:8" x14ac:dyDescent="0.25">
      <c r="A26" s="12">
        <v>32</v>
      </c>
      <c r="B26" s="1" t="s">
        <v>98</v>
      </c>
      <c r="C26" s="1" t="s">
        <v>99</v>
      </c>
      <c r="D26" s="1" t="s">
        <v>100</v>
      </c>
      <c r="E26" s="1" t="s">
        <v>16</v>
      </c>
      <c r="F26" s="1" t="s">
        <v>101</v>
      </c>
      <c r="G26" s="11">
        <f>_xlfn.XLOOKUP(F26, pin_name_table!$A$2:$A$171,pin_name_table!$B$2:$B$171,"")</f>
        <v>37</v>
      </c>
      <c r="H26" s="12">
        <v>43</v>
      </c>
    </row>
    <row r="27" spans="1:8" x14ac:dyDescent="0.25">
      <c r="A27" s="12">
        <v>33</v>
      </c>
      <c r="B27" s="1" t="s">
        <v>102</v>
      </c>
      <c r="C27" s="1" t="s">
        <v>103</v>
      </c>
      <c r="D27" s="1" t="s">
        <v>104</v>
      </c>
      <c r="E27" s="1" t="s">
        <v>16</v>
      </c>
      <c r="F27" s="1" t="s">
        <v>16</v>
      </c>
      <c r="G27" s="11" t="str">
        <f>_xlfn.XLOOKUP(F27, pin_name_table!$A$2:$A$171,pin_name_table!$B$2:$B$171,"")</f>
        <v/>
      </c>
      <c r="H27" s="1" t="s">
        <v>16</v>
      </c>
    </row>
    <row r="28" spans="1:8" x14ac:dyDescent="0.25">
      <c r="A28" s="1">
        <v>35</v>
      </c>
      <c r="B28" s="1" t="s">
        <v>105</v>
      </c>
      <c r="C28" s="1">
        <v>132</v>
      </c>
      <c r="D28" s="1" t="s">
        <v>106</v>
      </c>
      <c r="E28" s="1" t="s">
        <v>16</v>
      </c>
      <c r="F28" s="1" t="s">
        <v>16</v>
      </c>
      <c r="G28" s="11" t="str">
        <f>_xlfn.XLOOKUP(F28, pin_name_table!$A$2:$A$171,pin_name_table!$B$2:$B$171,"")</f>
        <v/>
      </c>
      <c r="H28" s="1" t="s">
        <v>16</v>
      </c>
    </row>
    <row r="29" spans="1:8" x14ac:dyDescent="0.25">
      <c r="A29" s="1">
        <v>36</v>
      </c>
      <c r="B29" s="1" t="s">
        <v>107</v>
      </c>
      <c r="C29" s="1">
        <v>99</v>
      </c>
      <c r="D29" s="1" t="s">
        <v>108</v>
      </c>
      <c r="E29" s="1" t="s">
        <v>16</v>
      </c>
      <c r="F29" s="1" t="s">
        <v>109</v>
      </c>
      <c r="G29" s="11">
        <f>_xlfn.XLOOKUP(F29, pin_name_table!$A$2:$A$171,pin_name_table!$B$2:$B$171,"")</f>
        <v>32</v>
      </c>
      <c r="H29" s="12">
        <v>83</v>
      </c>
    </row>
    <row r="30" spans="1:8" x14ac:dyDescent="0.25">
      <c r="A30" s="1">
        <v>37</v>
      </c>
      <c r="B30" s="1" t="s">
        <v>110</v>
      </c>
      <c r="C30" s="1">
        <v>160</v>
      </c>
      <c r="D30" s="1" t="s">
        <v>111</v>
      </c>
      <c r="E30" s="1" t="s">
        <v>16</v>
      </c>
      <c r="F30" s="1" t="s">
        <v>112</v>
      </c>
      <c r="G30" s="11">
        <f>_xlfn.XLOOKUP(F30, pin_name_table!$A$2:$A$171,pin_name_table!$B$2:$B$171,"")</f>
        <v>41</v>
      </c>
      <c r="H30" s="12">
        <v>27</v>
      </c>
    </row>
    <row r="31" spans="1:8" x14ac:dyDescent="0.25">
      <c r="A31" s="1">
        <v>38</v>
      </c>
      <c r="B31" s="1" t="s">
        <v>113</v>
      </c>
      <c r="C31" s="1">
        <v>98</v>
      </c>
      <c r="D31" s="1" t="s">
        <v>114</v>
      </c>
      <c r="E31" s="1" t="s">
        <v>16</v>
      </c>
      <c r="F31" s="1" t="s">
        <v>16</v>
      </c>
      <c r="G31" s="11" t="str">
        <f>_xlfn.XLOOKUP(F31, pin_name_table!$A$2:$A$171,pin_name_table!$B$2:$B$171,"")</f>
        <v/>
      </c>
      <c r="H31" s="1" t="s">
        <v>16</v>
      </c>
    </row>
    <row r="32" spans="1:8" x14ac:dyDescent="0.25">
      <c r="A32" s="1">
        <v>39</v>
      </c>
      <c r="B32" s="1" t="s">
        <v>115</v>
      </c>
      <c r="C32" s="1">
        <v>161</v>
      </c>
      <c r="D32" s="1" t="s">
        <v>116</v>
      </c>
      <c r="E32" s="1" t="s">
        <v>16</v>
      </c>
      <c r="F32" s="1" t="s">
        <v>117</v>
      </c>
      <c r="G32" s="11">
        <f>_xlfn.XLOOKUP(F32, pin_name_table!$A$2:$A$171,pin_name_table!$B$2:$B$171,"")</f>
        <v>42</v>
      </c>
      <c r="H32" s="12">
        <v>28</v>
      </c>
    </row>
    <row r="33" spans="1:8" x14ac:dyDescent="0.25">
      <c r="A33" s="1">
        <v>40</v>
      </c>
      <c r="B33" s="1" t="s">
        <v>118</v>
      </c>
      <c r="C33" s="1">
        <v>166</v>
      </c>
      <c r="D33" s="1" t="s">
        <v>119</v>
      </c>
      <c r="E33" s="1" t="s">
        <v>16</v>
      </c>
      <c r="F33" s="1" t="s">
        <v>120</v>
      </c>
      <c r="G33" s="11">
        <f>_xlfn.XLOOKUP(F33, pin_name_table!$A$2:$A$171,pin_name_table!$B$2:$B$171,"")</f>
        <v>52</v>
      </c>
      <c r="H33" s="12">
        <v>33</v>
      </c>
    </row>
    <row r="34" spans="1:8" x14ac:dyDescent="0.25">
      <c r="A34" s="1">
        <v>41</v>
      </c>
      <c r="B34" s="1" t="s">
        <v>121</v>
      </c>
      <c r="C34" s="1">
        <v>162</v>
      </c>
      <c r="D34" s="1" t="s">
        <v>122</v>
      </c>
      <c r="E34" s="1" t="s">
        <v>16</v>
      </c>
      <c r="F34" s="1" t="s">
        <v>123</v>
      </c>
      <c r="G34" s="11">
        <f>_xlfn.XLOOKUP(F34, pin_name_table!$A$2:$A$171,pin_name_table!$B$2:$B$171,"")</f>
        <v>44</v>
      </c>
      <c r="H34" s="12">
        <v>29</v>
      </c>
    </row>
    <row r="35" spans="1:8" x14ac:dyDescent="0.25">
      <c r="A35" s="1">
        <v>42</v>
      </c>
      <c r="B35" s="1" t="s">
        <v>124</v>
      </c>
      <c r="C35" s="1">
        <v>165</v>
      </c>
      <c r="D35" s="1" t="s">
        <v>125</v>
      </c>
      <c r="E35" s="1" t="s">
        <v>16</v>
      </c>
      <c r="F35" s="1" t="s">
        <v>126</v>
      </c>
      <c r="G35" s="11">
        <f>_xlfn.XLOOKUP(F35, pin_name_table!$A$2:$A$171,pin_name_table!$B$2:$B$171,"")</f>
        <v>50</v>
      </c>
      <c r="H35" s="12">
        <v>32</v>
      </c>
    </row>
    <row r="36" spans="1:8" x14ac:dyDescent="0.25">
      <c r="A36" s="1">
        <v>43</v>
      </c>
      <c r="B36" s="1" t="s">
        <v>127</v>
      </c>
      <c r="C36" s="1">
        <v>163</v>
      </c>
      <c r="D36" s="1" t="s">
        <v>128</v>
      </c>
      <c r="E36" s="1" t="s">
        <v>16</v>
      </c>
      <c r="F36" s="1" t="s">
        <v>129</v>
      </c>
      <c r="G36" s="11">
        <f>_xlfn.XLOOKUP(F36, pin_name_table!$A$2:$A$171,pin_name_table!$B$2:$B$171,"")</f>
        <v>45</v>
      </c>
      <c r="H36" s="12">
        <v>30</v>
      </c>
    </row>
    <row r="37" spans="1:8" x14ac:dyDescent="0.25">
      <c r="A37" s="1">
        <v>44</v>
      </c>
      <c r="B37" s="1" t="s">
        <v>130</v>
      </c>
      <c r="C37" s="1">
        <v>164</v>
      </c>
      <c r="D37" s="1" t="s">
        <v>131</v>
      </c>
      <c r="E37" s="1" t="s">
        <v>16</v>
      </c>
      <c r="F37" s="1" t="s">
        <v>132</v>
      </c>
      <c r="G37" s="11">
        <f>_xlfn.XLOOKUP(F37, pin_name_table!$A$2:$A$171,pin_name_table!$B$2:$B$171,"")</f>
        <v>49</v>
      </c>
      <c r="H37" s="12">
        <v>31</v>
      </c>
    </row>
    <row r="38" spans="1:8" x14ac:dyDescent="0.25">
      <c r="G38" s="1" t="str">
        <f>_xlfn.XLOOKUP(F38, pin_name_table!$A$2:$A$171,pin_name_table!$B$2:$B$171,"")</f>
        <v/>
      </c>
    </row>
    <row r="39" spans="1:8" x14ac:dyDescent="0.25">
      <c r="G39" s="1" t="str">
        <f>_xlfn.XLOOKUP(F39, pin_name_table!$A$2:$A$171,pin_name_table!$B$2:$B$171,"")</f>
        <v/>
      </c>
    </row>
    <row r="40" spans="1:8" x14ac:dyDescent="0.25">
      <c r="A40" s="1" t="s">
        <v>133</v>
      </c>
      <c r="G40" s="1" t="str">
        <f>_xlfn.XLOOKUP(F40, pin_name_table!$A$2:$A$171,pin_name_table!$B$2:$B$171,"")</f>
        <v/>
      </c>
    </row>
    <row r="41" spans="1:8" x14ac:dyDescent="0.25">
      <c r="A41" s="1" t="s">
        <v>1</v>
      </c>
      <c r="B41" s="1" t="s">
        <v>2</v>
      </c>
      <c r="C41" s="1" t="s">
        <v>3</v>
      </c>
      <c r="D41" s="1" t="s">
        <v>4</v>
      </c>
      <c r="E41" s="1" t="s">
        <v>5</v>
      </c>
      <c r="F41" s="1" t="s">
        <v>6</v>
      </c>
      <c r="G41" s="1" t="str">
        <f>_xlfn.XLOOKUP(F41, pin_name_table!$A$2:$A$171,pin_name_table!$B$2:$B$171,"")</f>
        <v/>
      </c>
      <c r="H41" s="1" t="s">
        <v>7</v>
      </c>
    </row>
    <row r="42" spans="1:8" x14ac:dyDescent="0.25">
      <c r="A42" s="12">
        <v>9</v>
      </c>
      <c r="B42" s="1" t="s">
        <v>134</v>
      </c>
      <c r="C42" s="1" t="s">
        <v>135</v>
      </c>
      <c r="D42" s="1" t="s">
        <v>136</v>
      </c>
      <c r="E42" s="1" t="s">
        <v>16</v>
      </c>
      <c r="F42" s="1" t="s">
        <v>137</v>
      </c>
      <c r="G42" s="10" t="str">
        <f>_xlfn.XLOOKUP(F42, pin_name_table!$A$2:$A$171,pin_name_table!$B$2:$B$171,"")</f>
        <v/>
      </c>
      <c r="H42" s="11">
        <v>15</v>
      </c>
    </row>
    <row r="43" spans="1:8" x14ac:dyDescent="0.25">
      <c r="A43" s="12">
        <v>10</v>
      </c>
      <c r="B43" s="1" t="s">
        <v>138</v>
      </c>
      <c r="C43" s="1" t="s">
        <v>139</v>
      </c>
      <c r="D43" s="1" t="s">
        <v>140</v>
      </c>
      <c r="E43" s="1" t="s">
        <v>16</v>
      </c>
      <c r="F43" s="1" t="s">
        <v>16</v>
      </c>
      <c r="G43" s="10" t="str">
        <f>_xlfn.XLOOKUP(F43, pin_name_table!$A$2:$A$171,pin_name_table!$B$2:$B$171,"")</f>
        <v/>
      </c>
      <c r="H43" s="11">
        <v>7</v>
      </c>
    </row>
    <row r="44" spans="1:8" x14ac:dyDescent="0.25">
      <c r="A44" s="12">
        <v>11</v>
      </c>
      <c r="B44" s="1" t="s">
        <v>141</v>
      </c>
      <c r="C44" s="1" t="s">
        <v>142</v>
      </c>
      <c r="D44" s="1" t="s">
        <v>143</v>
      </c>
      <c r="E44" s="1" t="s">
        <v>16</v>
      </c>
      <c r="F44" s="1" t="s">
        <v>144</v>
      </c>
      <c r="G44" s="10" t="str">
        <f>_xlfn.XLOOKUP(F44, pin_name_table!$A$2:$A$171,pin_name_table!$B$2:$B$171,"")</f>
        <v/>
      </c>
      <c r="H44" s="11">
        <v>16</v>
      </c>
    </row>
    <row r="45" spans="1:8" x14ac:dyDescent="0.25">
      <c r="A45" s="12">
        <v>12</v>
      </c>
      <c r="B45" s="1" t="s">
        <v>145</v>
      </c>
      <c r="C45" s="1" t="s">
        <v>146</v>
      </c>
      <c r="D45" s="1" t="s">
        <v>147</v>
      </c>
      <c r="E45" s="1" t="s">
        <v>16</v>
      </c>
      <c r="F45" s="1" t="s">
        <v>16</v>
      </c>
      <c r="G45" s="10" t="str">
        <f>_xlfn.XLOOKUP(F45, pin_name_table!$A$2:$A$171,pin_name_table!$B$2:$B$171,"")</f>
        <v/>
      </c>
      <c r="H45" s="11">
        <v>9</v>
      </c>
    </row>
    <row r="46" spans="1:8" x14ac:dyDescent="0.25">
      <c r="A46" s="12">
        <v>13</v>
      </c>
      <c r="B46" s="1" t="s">
        <v>148</v>
      </c>
      <c r="C46" s="1" t="s">
        <v>149</v>
      </c>
      <c r="D46" s="1" t="s">
        <v>150</v>
      </c>
      <c r="E46" s="1" t="s">
        <v>16</v>
      </c>
      <c r="F46" s="1" t="s">
        <v>151</v>
      </c>
      <c r="G46" s="10" t="str">
        <f>_xlfn.XLOOKUP(F46, pin_name_table!$A$2:$A$171,pin_name_table!$B$2:$B$171,"")</f>
        <v/>
      </c>
      <c r="H46" s="11">
        <v>17</v>
      </c>
    </row>
    <row r="47" spans="1:8" x14ac:dyDescent="0.25">
      <c r="A47" s="12">
        <v>14</v>
      </c>
      <c r="B47" s="1" t="s">
        <v>152</v>
      </c>
      <c r="C47" s="1" t="s">
        <v>153</v>
      </c>
      <c r="D47" s="1" t="s">
        <v>154</v>
      </c>
      <c r="E47" s="1" t="s">
        <v>34</v>
      </c>
      <c r="F47" s="1" t="s">
        <v>16</v>
      </c>
      <c r="G47" s="10" t="str">
        <f>_xlfn.XLOOKUP(F47, pin_name_table!$A$2:$A$171,pin_name_table!$B$2:$B$171,"")</f>
        <v/>
      </c>
      <c r="H47" s="11">
        <v>10</v>
      </c>
    </row>
    <row r="48" spans="1:8" x14ac:dyDescent="0.25">
      <c r="A48" s="12">
        <v>15</v>
      </c>
      <c r="B48" s="1" t="s">
        <v>155</v>
      </c>
      <c r="C48" s="1" t="s">
        <v>156</v>
      </c>
      <c r="D48" s="1" t="s">
        <v>157</v>
      </c>
      <c r="E48" s="1" t="s">
        <v>16</v>
      </c>
      <c r="F48" s="1" t="s">
        <v>158</v>
      </c>
      <c r="G48" s="10" t="str">
        <f>_xlfn.XLOOKUP(F48, pin_name_table!$A$2:$A$171,pin_name_table!$B$2:$B$171,"")</f>
        <v/>
      </c>
      <c r="H48" s="11">
        <v>18</v>
      </c>
    </row>
    <row r="49" spans="1:8" x14ac:dyDescent="0.25">
      <c r="A49" s="12">
        <v>16</v>
      </c>
      <c r="B49" s="1" t="s">
        <v>159</v>
      </c>
      <c r="C49" s="1" t="s">
        <v>160</v>
      </c>
      <c r="D49" s="1" t="s">
        <v>161</v>
      </c>
      <c r="E49" s="1" t="s">
        <v>16</v>
      </c>
      <c r="F49" s="1" t="s">
        <v>16</v>
      </c>
      <c r="G49" s="10" t="str">
        <f>_xlfn.XLOOKUP(F49, pin_name_table!$A$2:$A$171,pin_name_table!$B$2:$B$171,"")</f>
        <v/>
      </c>
      <c r="H49" s="11">
        <v>8</v>
      </c>
    </row>
    <row r="50" spans="1:8" x14ac:dyDescent="0.25">
      <c r="A50" s="12">
        <v>17</v>
      </c>
      <c r="B50" s="1" t="s">
        <v>162</v>
      </c>
      <c r="C50" s="1" t="s">
        <v>163</v>
      </c>
      <c r="D50" s="1" t="s">
        <v>164</v>
      </c>
      <c r="E50" s="1" t="s">
        <v>26</v>
      </c>
      <c r="F50" s="1" t="s">
        <v>165</v>
      </c>
      <c r="G50" s="10">
        <f>_xlfn.XLOOKUP(F50, pin_name_table!$A$2:$A$171,pin_name_table!$B$2:$B$171,"")</f>
        <v>0</v>
      </c>
      <c r="H50" s="11">
        <v>19</v>
      </c>
    </row>
    <row r="51" spans="1:8" x14ac:dyDescent="0.25">
      <c r="A51" s="12">
        <v>18</v>
      </c>
      <c r="B51" s="1" t="s">
        <v>166</v>
      </c>
      <c r="C51" s="1" t="s">
        <v>167</v>
      </c>
      <c r="D51" s="1" t="s">
        <v>168</v>
      </c>
      <c r="E51" s="1" t="s">
        <v>16</v>
      </c>
      <c r="F51" s="1" t="s">
        <v>169</v>
      </c>
      <c r="G51" s="10">
        <f>_xlfn.XLOOKUP(F51, pin_name_table!$A$2:$A$171,pin_name_table!$B$2:$B$171,"")</f>
        <v>7</v>
      </c>
      <c r="H51" s="11">
        <v>48</v>
      </c>
    </row>
    <row r="52" spans="1:8" x14ac:dyDescent="0.25">
      <c r="A52" s="12">
        <v>19</v>
      </c>
      <c r="B52" s="1" t="s">
        <v>170</v>
      </c>
      <c r="C52" s="1" t="s">
        <v>171</v>
      </c>
      <c r="D52" s="1" t="s">
        <v>172</v>
      </c>
      <c r="E52" s="1" t="s">
        <v>16</v>
      </c>
      <c r="F52" s="1" t="s">
        <v>173</v>
      </c>
      <c r="G52" s="10">
        <f>_xlfn.XLOOKUP(F52, pin_name_table!$A$2:$A$171,pin_name_table!$B$2:$B$171,"")</f>
        <v>8</v>
      </c>
      <c r="H52" s="11">
        <v>20</v>
      </c>
    </row>
    <row r="53" spans="1:8" x14ac:dyDescent="0.25">
      <c r="A53" s="12">
        <v>20</v>
      </c>
      <c r="B53" s="1" t="s">
        <v>174</v>
      </c>
      <c r="C53" s="1" t="s">
        <v>175</v>
      </c>
      <c r="D53" s="1" t="s">
        <v>176</v>
      </c>
      <c r="E53" s="1" t="s">
        <v>16</v>
      </c>
      <c r="F53" s="1" t="s">
        <v>12</v>
      </c>
      <c r="G53" s="10">
        <f>_xlfn.XLOOKUP(F53, pin_name_table!$A$2:$A$171,pin_name_table!$B$2:$B$171,"")</f>
        <v>9</v>
      </c>
      <c r="H53" s="11">
        <v>47</v>
      </c>
    </row>
    <row r="54" spans="1:8" x14ac:dyDescent="0.25">
      <c r="A54" s="12">
        <v>21</v>
      </c>
      <c r="B54" s="1" t="s">
        <v>177</v>
      </c>
      <c r="C54" s="1" t="s">
        <v>178</v>
      </c>
      <c r="D54" s="1" t="s">
        <v>179</v>
      </c>
      <c r="E54" s="1" t="s">
        <v>59</v>
      </c>
      <c r="F54" s="1" t="s">
        <v>180</v>
      </c>
      <c r="G54" s="10">
        <f>_xlfn.XLOOKUP(F54, pin_name_table!$A$2:$A$171,pin_name_table!$B$2:$B$171,"")</f>
        <v>21</v>
      </c>
      <c r="H54" s="11">
        <v>21</v>
      </c>
    </row>
    <row r="55" spans="1:8" x14ac:dyDescent="0.25">
      <c r="A55" s="12">
        <v>22</v>
      </c>
      <c r="B55" s="1" t="s">
        <v>181</v>
      </c>
      <c r="C55" s="1" t="s">
        <v>182</v>
      </c>
      <c r="D55" s="1" t="s">
        <v>183</v>
      </c>
      <c r="E55" s="1" t="s">
        <v>16</v>
      </c>
      <c r="F55" s="1" t="s">
        <v>184</v>
      </c>
      <c r="G55" s="10">
        <f>_xlfn.XLOOKUP(F55, pin_name_table!$A$2:$A$171,pin_name_table!$B$2:$B$171,"")</f>
        <v>10</v>
      </c>
      <c r="H55" s="11">
        <v>45</v>
      </c>
    </row>
    <row r="56" spans="1:8" x14ac:dyDescent="0.25">
      <c r="A56" s="12">
        <v>23</v>
      </c>
      <c r="B56" s="1" t="s">
        <v>185</v>
      </c>
      <c r="C56" s="1" t="s">
        <v>186</v>
      </c>
      <c r="D56" s="1" t="s">
        <v>187</v>
      </c>
      <c r="E56" s="1" t="s">
        <v>67</v>
      </c>
      <c r="F56" s="1" t="s">
        <v>188</v>
      </c>
      <c r="G56" s="10">
        <f>_xlfn.XLOOKUP(F56, pin_name_table!$A$2:$A$171,pin_name_table!$B$2:$B$171,"")</f>
        <v>22</v>
      </c>
      <c r="H56" s="11">
        <v>22</v>
      </c>
    </row>
    <row r="57" spans="1:8" x14ac:dyDescent="0.25">
      <c r="A57" s="12">
        <v>24</v>
      </c>
      <c r="B57" s="1" t="s">
        <v>189</v>
      </c>
      <c r="C57" s="1" t="s">
        <v>190</v>
      </c>
      <c r="D57" s="1" t="s">
        <v>191</v>
      </c>
      <c r="E57" s="1" t="s">
        <v>16</v>
      </c>
      <c r="F57" s="1" t="s">
        <v>192</v>
      </c>
      <c r="G57" s="10">
        <f>_xlfn.XLOOKUP(F57, pin_name_table!$A$2:$A$171,pin_name_table!$B$2:$B$171,"")</f>
        <v>8</v>
      </c>
      <c r="H57" s="11">
        <v>46</v>
      </c>
    </row>
    <row r="58" spans="1:8" x14ac:dyDescent="0.25">
      <c r="A58" s="12">
        <v>25</v>
      </c>
      <c r="B58" s="1" t="s">
        <v>193</v>
      </c>
      <c r="C58" s="1" t="s">
        <v>194</v>
      </c>
      <c r="D58" s="1" t="s">
        <v>195</v>
      </c>
      <c r="E58" s="1" t="s">
        <v>73</v>
      </c>
      <c r="F58" s="1" t="s">
        <v>78</v>
      </c>
      <c r="G58" s="10">
        <f>_xlfn.XLOOKUP(F58, pin_name_table!$A$2:$A$171,pin_name_table!$B$2:$B$171,"")</f>
        <v>6</v>
      </c>
      <c r="H58" s="11">
        <v>0</v>
      </c>
    </row>
    <row r="59" spans="1:8" x14ac:dyDescent="0.25">
      <c r="A59" s="12">
        <v>26</v>
      </c>
      <c r="B59" s="1" t="s">
        <v>196</v>
      </c>
      <c r="C59" s="1" t="s">
        <v>197</v>
      </c>
      <c r="D59" s="1" t="s">
        <v>198</v>
      </c>
      <c r="E59" s="1" t="s">
        <v>78</v>
      </c>
      <c r="F59" s="1" t="s">
        <v>199</v>
      </c>
      <c r="G59" s="10">
        <f>_xlfn.XLOOKUP(F59, pin_name_table!$A$2:$A$171,pin_name_table!$B$2:$B$171,"")</f>
        <v>0</v>
      </c>
      <c r="H59" s="11">
        <v>11</v>
      </c>
    </row>
    <row r="60" spans="1:8" x14ac:dyDescent="0.25">
      <c r="A60" s="12">
        <v>27</v>
      </c>
      <c r="B60" s="1" t="s">
        <v>200</v>
      </c>
      <c r="C60" s="1" t="s">
        <v>201</v>
      </c>
      <c r="D60" s="1" t="s">
        <v>202</v>
      </c>
      <c r="E60" s="1" t="s">
        <v>16</v>
      </c>
      <c r="F60" s="1" t="s">
        <v>203</v>
      </c>
      <c r="G60" s="10">
        <f>_xlfn.XLOOKUP(F60, pin_name_table!$A$2:$A$171,pin_name_table!$B$2:$B$171,"")</f>
        <v>5</v>
      </c>
      <c r="H60" s="11">
        <v>1</v>
      </c>
    </row>
    <row r="61" spans="1:8" x14ac:dyDescent="0.25">
      <c r="A61" s="12">
        <v>28</v>
      </c>
      <c r="B61" s="1" t="s">
        <v>204</v>
      </c>
      <c r="C61" s="1" t="s">
        <v>205</v>
      </c>
      <c r="D61" s="1" t="s">
        <v>206</v>
      </c>
      <c r="E61" s="1" t="s">
        <v>16</v>
      </c>
      <c r="F61" s="1" t="s">
        <v>97</v>
      </c>
      <c r="G61" s="10">
        <f>_xlfn.XLOOKUP(F61, pin_name_table!$A$2:$A$171,pin_name_table!$B$2:$B$171,"")</f>
        <v>62</v>
      </c>
      <c r="H61" s="11">
        <v>12</v>
      </c>
    </row>
    <row r="62" spans="1:8" x14ac:dyDescent="0.25">
      <c r="A62" s="12">
        <v>29</v>
      </c>
      <c r="B62" s="1" t="s">
        <v>207</v>
      </c>
      <c r="C62" s="1" t="s">
        <v>208</v>
      </c>
      <c r="D62" s="1" t="s">
        <v>209</v>
      </c>
      <c r="E62" s="1" t="s">
        <v>16</v>
      </c>
      <c r="F62" s="1" t="s">
        <v>11</v>
      </c>
      <c r="G62" s="10">
        <f>_xlfn.XLOOKUP(F62, pin_name_table!$A$2:$A$171,pin_name_table!$B$2:$B$171,"")</f>
        <v>4</v>
      </c>
      <c r="H62" s="11">
        <v>2</v>
      </c>
    </row>
    <row r="63" spans="1:8" x14ac:dyDescent="0.25">
      <c r="A63" s="12">
        <v>30</v>
      </c>
      <c r="B63" s="1" t="s">
        <v>210</v>
      </c>
      <c r="C63" s="1" t="s">
        <v>211</v>
      </c>
      <c r="D63" s="1" t="s">
        <v>212</v>
      </c>
      <c r="E63" s="1" t="s">
        <v>16</v>
      </c>
      <c r="F63" s="1" t="s">
        <v>213</v>
      </c>
      <c r="G63" s="10">
        <f>_xlfn.XLOOKUP(F63, pin_name_table!$A$2:$A$171,pin_name_table!$B$2:$B$171,"")</f>
        <v>36</v>
      </c>
      <c r="H63" s="11">
        <v>37</v>
      </c>
    </row>
    <row r="64" spans="1:8" x14ac:dyDescent="0.25">
      <c r="A64" s="12">
        <v>31</v>
      </c>
      <c r="B64" s="1" t="s">
        <v>214</v>
      </c>
      <c r="C64" s="1" t="s">
        <v>215</v>
      </c>
      <c r="D64" s="1" t="s">
        <v>216</v>
      </c>
      <c r="E64" s="1" t="s">
        <v>16</v>
      </c>
      <c r="F64" s="1" t="s">
        <v>217</v>
      </c>
      <c r="G64" s="10">
        <f>_xlfn.XLOOKUP(F64, pin_name_table!$A$2:$A$171,pin_name_table!$B$2:$B$171,"")</f>
        <v>3</v>
      </c>
      <c r="H64" s="11">
        <v>3</v>
      </c>
    </row>
    <row r="65" spans="1:8" x14ac:dyDescent="0.25">
      <c r="A65" s="12">
        <v>32</v>
      </c>
      <c r="B65" s="1" t="s">
        <v>218</v>
      </c>
      <c r="C65" s="1" t="s">
        <v>219</v>
      </c>
      <c r="D65" s="1" t="s">
        <v>220</v>
      </c>
      <c r="E65" s="1" t="s">
        <v>16</v>
      </c>
      <c r="F65" s="1" t="s">
        <v>221</v>
      </c>
      <c r="G65" s="10">
        <f>_xlfn.XLOOKUP(F65, pin_name_table!$A$2:$A$171,pin_name_table!$B$2:$B$171,"")</f>
        <v>35</v>
      </c>
      <c r="H65" s="11">
        <v>38</v>
      </c>
    </row>
    <row r="66" spans="1:8" x14ac:dyDescent="0.25">
      <c r="A66" s="1">
        <v>33</v>
      </c>
      <c r="B66" s="1" t="s">
        <v>222</v>
      </c>
      <c r="C66" s="1">
        <v>187</v>
      </c>
      <c r="D66" s="1" t="s">
        <v>223</v>
      </c>
      <c r="E66" s="1" t="s">
        <v>16</v>
      </c>
      <c r="F66" s="1" t="s">
        <v>224</v>
      </c>
      <c r="G66" s="10">
        <f>_xlfn.XLOOKUP(F66, pin_name_table!$A$2:$A$171,pin_name_table!$B$2:$B$171,"")</f>
        <v>2</v>
      </c>
      <c r="H66" s="10">
        <v>4</v>
      </c>
    </row>
    <row r="67" spans="1:8" x14ac:dyDescent="0.25">
      <c r="A67" s="1">
        <v>34</v>
      </c>
      <c r="B67" s="1" t="s">
        <v>225</v>
      </c>
      <c r="C67" s="1">
        <v>149</v>
      </c>
      <c r="D67" s="1" t="s">
        <v>226</v>
      </c>
      <c r="E67" s="1" t="s">
        <v>16</v>
      </c>
      <c r="F67" s="1" t="s">
        <v>227</v>
      </c>
      <c r="G67" s="10">
        <f>_xlfn.XLOOKUP(F67, pin_name_table!$A$2:$A$171,pin_name_table!$B$2:$B$171,"")</f>
        <v>58</v>
      </c>
      <c r="H67" s="10">
        <v>39</v>
      </c>
    </row>
    <row r="68" spans="1:8" x14ac:dyDescent="0.25">
      <c r="A68" s="1">
        <v>35</v>
      </c>
      <c r="B68" s="1" t="s">
        <v>228</v>
      </c>
      <c r="C68" s="1">
        <v>188</v>
      </c>
      <c r="D68" s="1" t="s">
        <v>229</v>
      </c>
      <c r="E68" s="1" t="s">
        <v>16</v>
      </c>
      <c r="F68" s="1" t="s">
        <v>230</v>
      </c>
      <c r="G68" s="10">
        <f>_xlfn.XLOOKUP(F68, pin_name_table!$A$2:$A$171,pin_name_table!$B$2:$B$171,"")</f>
        <v>1</v>
      </c>
      <c r="H68" s="10">
        <v>5</v>
      </c>
    </row>
    <row r="69" spans="1:8" x14ac:dyDescent="0.25">
      <c r="A69" s="1">
        <v>36</v>
      </c>
      <c r="B69" s="1" t="s">
        <v>231</v>
      </c>
      <c r="C69" s="1">
        <v>148</v>
      </c>
      <c r="D69" s="1" t="s">
        <v>232</v>
      </c>
      <c r="E69" s="1" t="s">
        <v>16</v>
      </c>
      <c r="F69" s="1" t="s">
        <v>233</v>
      </c>
      <c r="G69" s="10">
        <f>_xlfn.XLOOKUP(F69, pin_name_table!$A$2:$A$171,pin_name_table!$B$2:$B$171,"")</f>
        <v>57</v>
      </c>
      <c r="H69" s="10">
        <v>40</v>
      </c>
    </row>
    <row r="70" spans="1:8" x14ac:dyDescent="0.25">
      <c r="A70" s="1">
        <v>37</v>
      </c>
      <c r="B70" s="1" t="s">
        <v>234</v>
      </c>
      <c r="C70" s="1">
        <v>189</v>
      </c>
      <c r="D70" s="1" t="s">
        <v>235</v>
      </c>
      <c r="E70" s="1" t="s">
        <v>16</v>
      </c>
      <c r="F70" s="1" t="s">
        <v>199</v>
      </c>
      <c r="G70" s="10">
        <f>_xlfn.XLOOKUP(F70, pin_name_table!$A$2:$A$171,pin_name_table!$B$2:$B$171,"")</f>
        <v>0</v>
      </c>
      <c r="H70" s="10">
        <v>6</v>
      </c>
    </row>
    <row r="71" spans="1:8" x14ac:dyDescent="0.25">
      <c r="A71" s="1">
        <v>38</v>
      </c>
      <c r="B71" s="1" t="s">
        <v>236</v>
      </c>
      <c r="C71" s="1">
        <v>107</v>
      </c>
      <c r="D71" s="1" t="s">
        <v>237</v>
      </c>
      <c r="E71" s="1" t="s">
        <v>16</v>
      </c>
      <c r="F71" s="1" t="s">
        <v>238</v>
      </c>
      <c r="G71" s="10">
        <f>_xlfn.XLOOKUP(F71, pin_name_table!$A$2:$A$171,pin_name_table!$B$2:$B$171,"")</f>
        <v>64</v>
      </c>
      <c r="H71" s="10">
        <v>78</v>
      </c>
    </row>
    <row r="72" spans="1:8" x14ac:dyDescent="0.25">
      <c r="A72" s="1">
        <v>39</v>
      </c>
      <c r="B72" s="1" t="s">
        <v>239</v>
      </c>
      <c r="C72" s="1">
        <v>190</v>
      </c>
      <c r="D72" s="1" t="s">
        <v>240</v>
      </c>
      <c r="E72" s="1" t="s">
        <v>16</v>
      </c>
      <c r="F72" s="1" t="s">
        <v>241</v>
      </c>
      <c r="G72" s="10">
        <f>_xlfn.XLOOKUP(F72, pin_name_table!$A$2:$A$171,pin_name_table!$B$2:$B$171,"")</f>
        <v>74</v>
      </c>
      <c r="H72" s="10">
        <v>23</v>
      </c>
    </row>
    <row r="73" spans="1:8" x14ac:dyDescent="0.25">
      <c r="A73" s="1">
        <v>40</v>
      </c>
      <c r="B73" s="1" t="s">
        <v>242</v>
      </c>
      <c r="C73" s="1">
        <v>106</v>
      </c>
      <c r="D73" s="1" t="s">
        <v>243</v>
      </c>
      <c r="E73" s="1" t="s">
        <v>16</v>
      </c>
      <c r="F73" s="1" t="s">
        <v>244</v>
      </c>
      <c r="G73" s="10" t="str">
        <f>_xlfn.XLOOKUP(F73, pin_name_table!$A$2:$A$171,pin_name_table!$B$2:$B$171,"")</f>
        <v/>
      </c>
      <c r="H73" s="10">
        <v>79</v>
      </c>
    </row>
    <row r="74" spans="1:8" x14ac:dyDescent="0.25">
      <c r="A74" s="1">
        <v>41</v>
      </c>
      <c r="B74" s="1" t="s">
        <v>245</v>
      </c>
      <c r="C74" s="1">
        <v>191</v>
      </c>
      <c r="D74" s="1" t="s">
        <v>246</v>
      </c>
      <c r="E74" s="1" t="s">
        <v>16</v>
      </c>
      <c r="F74" s="1" t="s">
        <v>247</v>
      </c>
      <c r="G74" s="10">
        <f>_xlfn.XLOOKUP(F74, pin_name_table!$A$2:$A$171,pin_name_table!$B$2:$B$171,"")</f>
        <v>77</v>
      </c>
      <c r="H74" s="10">
        <v>24</v>
      </c>
    </row>
    <row r="75" spans="1:8" x14ac:dyDescent="0.25">
      <c r="A75" s="1">
        <v>42</v>
      </c>
      <c r="B75" s="1" t="s">
        <v>248</v>
      </c>
      <c r="C75" s="1">
        <v>108</v>
      </c>
      <c r="D75" s="1" t="s">
        <v>249</v>
      </c>
      <c r="E75" s="1" t="s">
        <v>16</v>
      </c>
      <c r="F75" s="1" t="s">
        <v>250</v>
      </c>
      <c r="G75" s="10" t="str">
        <f>_xlfn.XLOOKUP(F75, pin_name_table!$A$2:$A$171,pin_name_table!$B$2:$B$171,"")</f>
        <v/>
      </c>
      <c r="H75" s="10">
        <v>80</v>
      </c>
    </row>
    <row r="76" spans="1:8" x14ac:dyDescent="0.25">
      <c r="A76" s="1">
        <v>43</v>
      </c>
      <c r="B76" s="1" t="s">
        <v>251</v>
      </c>
      <c r="C76" s="1">
        <v>192</v>
      </c>
      <c r="D76" s="1" t="s">
        <v>252</v>
      </c>
      <c r="E76" s="1" t="s">
        <v>16</v>
      </c>
      <c r="F76" s="1" t="s">
        <v>253</v>
      </c>
      <c r="G76" s="10">
        <f>_xlfn.XLOOKUP(F76, pin_name_table!$A$2:$A$171,pin_name_table!$B$2:$B$171,"")</f>
        <v>54</v>
      </c>
      <c r="H76" s="10">
        <v>25</v>
      </c>
    </row>
    <row r="77" spans="1:8" x14ac:dyDescent="0.25">
      <c r="A77" s="1">
        <v>44</v>
      </c>
      <c r="B77" s="1" t="s">
        <v>254</v>
      </c>
      <c r="C77" s="1">
        <v>115</v>
      </c>
      <c r="D77" s="1" t="s">
        <v>255</v>
      </c>
      <c r="E77" s="1" t="s">
        <v>16</v>
      </c>
      <c r="F77" s="1" t="s">
        <v>16</v>
      </c>
      <c r="G77" s="1"/>
      <c r="H77" s="10">
        <v>81</v>
      </c>
    </row>
  </sheetData>
  <conditionalFormatting sqref="G1 G3:G1048576">
    <cfRule type="cellIs" dxfId="2" priority="3" operator="between">
      <formula>24</formula>
      <formula>99</formula>
    </cfRule>
  </conditionalFormatting>
  <conditionalFormatting sqref="G2">
    <cfRule type="cellIs" dxfId="1" priority="1" operator="greaterThan">
      <formula>24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14FABC-9966-43CF-8C33-7518D31AF868}">
  <dimension ref="A1:H54"/>
  <sheetViews>
    <sheetView zoomScale="85" zoomScaleNormal="85" workbookViewId="0">
      <selection activeCell="F58" sqref="F58"/>
    </sheetView>
  </sheetViews>
  <sheetFormatPr defaultRowHeight="15" x14ac:dyDescent="0.25"/>
  <cols>
    <col min="1" max="1" width="16.5703125" customWidth="1"/>
    <col min="2" max="2" width="35.85546875" bestFit="1" customWidth="1"/>
    <col min="3" max="3" width="19.85546875" customWidth="1"/>
    <col min="4" max="4" width="23" customWidth="1"/>
    <col min="5" max="5" width="21.42578125" bestFit="1" customWidth="1"/>
    <col min="6" max="6" width="11.42578125" bestFit="1" customWidth="1"/>
    <col min="7" max="7" width="11.42578125" customWidth="1"/>
    <col min="8" max="8" width="12.28515625" bestFit="1" customWidth="1"/>
  </cols>
  <sheetData>
    <row r="1" spans="1:8" s="3" customFormat="1" x14ac:dyDescent="0.25">
      <c r="A1" s="2" t="s">
        <v>377</v>
      </c>
      <c r="B1" s="2"/>
      <c r="C1" s="2"/>
      <c r="D1" s="2"/>
      <c r="E1" s="2"/>
    </row>
    <row r="2" spans="1:8" s="7" customFormat="1" ht="60" x14ac:dyDescent="0.25">
      <c r="A2" s="6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6" t="s">
        <v>441</v>
      </c>
      <c r="H2" s="6" t="s">
        <v>7</v>
      </c>
    </row>
    <row r="3" spans="1:8" x14ac:dyDescent="0.25">
      <c r="A3" s="12">
        <v>3</v>
      </c>
      <c r="B3" s="1" t="s">
        <v>225</v>
      </c>
      <c r="C3" s="1" t="s">
        <v>378</v>
      </c>
      <c r="D3" s="1" t="s">
        <v>379</v>
      </c>
      <c r="E3" s="1" t="s">
        <v>16</v>
      </c>
      <c r="F3" s="1" t="s">
        <v>227</v>
      </c>
      <c r="G3" s="1">
        <f>_xlfn.XLOOKUP(F3, pin_name_table!$A$2:$A$171,pin_name_table!$B$2:$B$171,"")</f>
        <v>58</v>
      </c>
      <c r="H3" s="12">
        <v>39</v>
      </c>
    </row>
    <row r="4" spans="1:8" x14ac:dyDescent="0.25">
      <c r="A4" s="12">
        <v>5</v>
      </c>
      <c r="B4" s="1" t="s">
        <v>231</v>
      </c>
      <c r="C4" s="1" t="s">
        <v>380</v>
      </c>
      <c r="D4" s="1" t="s">
        <v>381</v>
      </c>
      <c r="E4" s="1" t="s">
        <v>16</v>
      </c>
      <c r="F4" s="1" t="s">
        <v>233</v>
      </c>
      <c r="G4" s="1">
        <f>_xlfn.XLOOKUP(F4, pin_name_table!$A$2:$A$171,pin_name_table!$B$2:$B$171,"")</f>
        <v>57</v>
      </c>
      <c r="H4" s="12">
        <v>40</v>
      </c>
    </row>
    <row r="5" spans="1:8" x14ac:dyDescent="0.25">
      <c r="A5" s="12">
        <v>7</v>
      </c>
      <c r="B5" s="1" t="s">
        <v>382</v>
      </c>
      <c r="C5" s="1" t="s">
        <v>194</v>
      </c>
      <c r="D5" s="1" t="s">
        <v>383</v>
      </c>
      <c r="E5" s="1" t="s">
        <v>11</v>
      </c>
      <c r="F5" s="1" t="s">
        <v>78</v>
      </c>
      <c r="G5" s="1">
        <f>_xlfn.XLOOKUP(F5, pin_name_table!$A$2:$A$171,pin_name_table!$B$2:$B$171,"")</f>
        <v>6</v>
      </c>
      <c r="H5" s="12">
        <v>0</v>
      </c>
    </row>
    <row r="6" spans="1:8" x14ac:dyDescent="0.25">
      <c r="A6" s="12">
        <v>8</v>
      </c>
      <c r="B6" s="1" t="s">
        <v>61</v>
      </c>
      <c r="C6" s="1" t="s">
        <v>62</v>
      </c>
      <c r="D6" s="1" t="s">
        <v>384</v>
      </c>
      <c r="E6" s="1" t="s">
        <v>16</v>
      </c>
      <c r="F6" s="1" t="s">
        <v>64</v>
      </c>
      <c r="G6" s="1">
        <f>_xlfn.XLOOKUP(F6, pin_name_table!$A$2:$A$171,pin_name_table!$B$2:$B$171,"")</f>
        <v>75</v>
      </c>
      <c r="H6" s="12">
        <v>53</v>
      </c>
    </row>
    <row r="7" spans="1:8" x14ac:dyDescent="0.25">
      <c r="A7" s="12">
        <v>10</v>
      </c>
      <c r="B7" s="1" t="s">
        <v>52</v>
      </c>
      <c r="C7" s="1" t="s">
        <v>53</v>
      </c>
      <c r="D7" s="1" t="s">
        <v>385</v>
      </c>
      <c r="E7" s="1" t="s">
        <v>16</v>
      </c>
      <c r="F7" s="1" t="s">
        <v>55</v>
      </c>
      <c r="G7" s="1">
        <f>_xlfn.XLOOKUP(F7, pin_name_table!$A$2:$A$171,pin_name_table!$B$2:$B$171,"")</f>
        <v>76</v>
      </c>
      <c r="H7" s="12">
        <v>54</v>
      </c>
    </row>
    <row r="8" spans="1:8" x14ac:dyDescent="0.25">
      <c r="A8" s="12">
        <v>11</v>
      </c>
      <c r="B8" s="1" t="s">
        <v>121</v>
      </c>
      <c r="C8" s="1" t="s">
        <v>386</v>
      </c>
      <c r="D8" s="1" t="s">
        <v>387</v>
      </c>
      <c r="E8" s="1" t="s">
        <v>347</v>
      </c>
      <c r="F8" s="1" t="s">
        <v>123</v>
      </c>
      <c r="G8" s="1">
        <f>_xlfn.XLOOKUP(F8, pin_name_table!$A$2:$A$171,pin_name_table!$B$2:$B$171,"")</f>
        <v>44</v>
      </c>
      <c r="H8" s="12">
        <v>29</v>
      </c>
    </row>
    <row r="9" spans="1:8" x14ac:dyDescent="0.25">
      <c r="A9" s="12">
        <v>12</v>
      </c>
      <c r="B9" s="1" t="s">
        <v>388</v>
      </c>
      <c r="C9" s="1" t="s">
        <v>71</v>
      </c>
      <c r="D9" s="1" t="s">
        <v>389</v>
      </c>
      <c r="E9" s="1" t="s">
        <v>16</v>
      </c>
      <c r="F9" s="1" t="s">
        <v>74</v>
      </c>
      <c r="G9" s="1">
        <f>_xlfn.XLOOKUP(F9, pin_name_table!$A$2:$A$171,pin_name_table!$B$2:$B$171,"")</f>
        <v>43</v>
      </c>
      <c r="H9" s="12">
        <v>63</v>
      </c>
    </row>
    <row r="10" spans="1:8" x14ac:dyDescent="0.25">
      <c r="A10" s="12">
        <v>13</v>
      </c>
      <c r="B10" s="1" t="s">
        <v>118</v>
      </c>
      <c r="C10" s="1" t="s">
        <v>390</v>
      </c>
      <c r="D10" s="1" t="s">
        <v>391</v>
      </c>
      <c r="E10" s="1" t="s">
        <v>25</v>
      </c>
      <c r="F10" s="1" t="s">
        <v>120</v>
      </c>
      <c r="G10" s="1">
        <f>_xlfn.XLOOKUP(F10, pin_name_table!$A$2:$A$171,pin_name_table!$B$2:$B$171,"")</f>
        <v>52</v>
      </c>
      <c r="H10" s="12">
        <v>33</v>
      </c>
    </row>
    <row r="11" spans="1:8" x14ac:dyDescent="0.25">
      <c r="A11" s="12">
        <v>15</v>
      </c>
      <c r="B11" s="1" t="s">
        <v>392</v>
      </c>
      <c r="C11" s="1" t="s">
        <v>393</v>
      </c>
      <c r="D11" s="1" t="s">
        <v>394</v>
      </c>
      <c r="E11" s="1" t="s">
        <v>16</v>
      </c>
      <c r="F11" s="1" t="s">
        <v>250</v>
      </c>
      <c r="G11" s="1" t="str">
        <f>_xlfn.XLOOKUP(F11, pin_name_table!$A$2:$A$171,pin_name_table!$B$2:$B$171,"")</f>
        <v/>
      </c>
      <c r="H11" s="12">
        <v>80</v>
      </c>
    </row>
    <row r="12" spans="1:8" x14ac:dyDescent="0.25">
      <c r="A12" s="12">
        <v>16</v>
      </c>
      <c r="B12" s="1" t="s">
        <v>395</v>
      </c>
      <c r="C12" s="1" t="s">
        <v>396</v>
      </c>
      <c r="D12" s="1" t="s">
        <v>397</v>
      </c>
      <c r="E12" s="1" t="s">
        <v>16</v>
      </c>
      <c r="F12" s="1" t="s">
        <v>238</v>
      </c>
      <c r="G12" s="1">
        <f>_xlfn.XLOOKUP(F12, pin_name_table!$A$2:$A$171,pin_name_table!$B$2:$B$171,"")</f>
        <v>64</v>
      </c>
      <c r="H12" s="12">
        <v>78</v>
      </c>
    </row>
    <row r="13" spans="1:8" x14ac:dyDescent="0.25">
      <c r="A13" s="12">
        <v>18</v>
      </c>
      <c r="B13" s="1" t="s">
        <v>398</v>
      </c>
      <c r="C13" s="1" t="s">
        <v>399</v>
      </c>
      <c r="D13" s="1" t="s">
        <v>400</v>
      </c>
      <c r="E13" s="1" t="s">
        <v>16</v>
      </c>
      <c r="F13" s="1" t="s">
        <v>244</v>
      </c>
      <c r="G13" s="1" t="str">
        <f>_xlfn.XLOOKUP(F13, pin_name_table!$A$2:$A$171,pin_name_table!$B$2:$B$171,"")</f>
        <v/>
      </c>
      <c r="H13" s="12">
        <v>79</v>
      </c>
    </row>
    <row r="14" spans="1:8" x14ac:dyDescent="0.25">
      <c r="A14" s="12">
        <v>19</v>
      </c>
      <c r="B14" s="1" t="s">
        <v>401</v>
      </c>
      <c r="C14" s="1" t="s">
        <v>190</v>
      </c>
      <c r="D14" s="1" t="s">
        <v>402</v>
      </c>
      <c r="E14" s="1" t="s">
        <v>16</v>
      </c>
      <c r="F14" s="1" t="s">
        <v>192</v>
      </c>
      <c r="G14" s="1">
        <f>_xlfn.XLOOKUP(F14, pin_name_table!$A$2:$A$171,pin_name_table!$B$2:$B$171,"")</f>
        <v>8</v>
      </c>
      <c r="H14" s="12">
        <v>46</v>
      </c>
    </row>
    <row r="15" spans="1:8" x14ac:dyDescent="0.25">
      <c r="A15" s="12">
        <v>21</v>
      </c>
      <c r="B15" s="1" t="s">
        <v>403</v>
      </c>
      <c r="C15" s="1" t="s">
        <v>182</v>
      </c>
      <c r="D15" s="1" t="s">
        <v>404</v>
      </c>
      <c r="E15" s="1" t="s">
        <v>16</v>
      </c>
      <c r="F15" s="1" t="s">
        <v>184</v>
      </c>
      <c r="G15" s="1">
        <f>_xlfn.XLOOKUP(F15, pin_name_table!$A$2:$A$171,pin_name_table!$B$2:$B$171,"")</f>
        <v>10</v>
      </c>
      <c r="H15" s="12">
        <v>45</v>
      </c>
    </row>
    <row r="16" spans="1:8" x14ac:dyDescent="0.25">
      <c r="A16" s="12">
        <v>22</v>
      </c>
      <c r="B16" s="1" t="s">
        <v>200</v>
      </c>
      <c r="C16" s="1" t="s">
        <v>201</v>
      </c>
      <c r="D16" s="1" t="s">
        <v>405</v>
      </c>
      <c r="E16" s="1" t="s">
        <v>34</v>
      </c>
      <c r="F16" s="1" t="s">
        <v>203</v>
      </c>
      <c r="G16" s="1">
        <f>_xlfn.XLOOKUP(F16, pin_name_table!$A$2:$A$171,pin_name_table!$B$2:$B$171,"")</f>
        <v>5</v>
      </c>
      <c r="H16" s="12">
        <v>1</v>
      </c>
    </row>
    <row r="17" spans="1:8" x14ac:dyDescent="0.25">
      <c r="A17" s="12">
        <v>23</v>
      </c>
      <c r="B17" s="1" t="s">
        <v>406</v>
      </c>
      <c r="C17" s="1" t="s">
        <v>175</v>
      </c>
      <c r="D17" s="1" t="s">
        <v>407</v>
      </c>
      <c r="E17" s="1" t="s">
        <v>16</v>
      </c>
      <c r="F17" s="1" t="s">
        <v>169</v>
      </c>
      <c r="G17" s="1">
        <f>_xlfn.XLOOKUP(F17, pin_name_table!$A$2:$A$171,pin_name_table!$B$2:$B$171,"")</f>
        <v>7</v>
      </c>
      <c r="H17" s="12">
        <v>47</v>
      </c>
    </row>
    <row r="18" spans="1:8" x14ac:dyDescent="0.25">
      <c r="A18" s="12">
        <v>24</v>
      </c>
      <c r="B18" s="1" t="s">
        <v>408</v>
      </c>
      <c r="C18" s="1" t="s">
        <v>167</v>
      </c>
      <c r="D18" s="1" t="s">
        <v>409</v>
      </c>
      <c r="E18" s="1" t="s">
        <v>16</v>
      </c>
      <c r="F18" s="1" t="s">
        <v>12</v>
      </c>
      <c r="G18" s="1">
        <f>_xlfn.XLOOKUP(F18, pin_name_table!$A$2:$A$171,pin_name_table!$B$2:$B$171,"")</f>
        <v>9</v>
      </c>
      <c r="H18" s="12">
        <v>48</v>
      </c>
    </row>
    <row r="19" spans="1:8" x14ac:dyDescent="0.25">
      <c r="A19" s="12">
        <v>26</v>
      </c>
      <c r="B19" s="1" t="s">
        <v>410</v>
      </c>
      <c r="C19" s="1" t="s">
        <v>208</v>
      </c>
      <c r="D19" s="1" t="s">
        <v>411</v>
      </c>
      <c r="E19" s="1" t="s">
        <v>26</v>
      </c>
      <c r="F19" s="1" t="s">
        <v>11</v>
      </c>
      <c r="G19" s="1">
        <f>_xlfn.XLOOKUP(F19, pin_name_table!$A$2:$A$171,pin_name_table!$B$2:$B$171,"")</f>
        <v>4</v>
      </c>
      <c r="H19" s="12">
        <v>2</v>
      </c>
    </row>
    <row r="20" spans="1:8" x14ac:dyDescent="0.25">
      <c r="A20" s="12">
        <v>27</v>
      </c>
      <c r="B20" s="1" t="s">
        <v>196</v>
      </c>
      <c r="C20" s="1" t="s">
        <v>197</v>
      </c>
      <c r="D20" s="1" t="s">
        <v>412</v>
      </c>
      <c r="E20" s="1" t="s">
        <v>16</v>
      </c>
      <c r="F20" s="1" t="s">
        <v>261</v>
      </c>
      <c r="G20" s="1">
        <f>_xlfn.XLOOKUP(F20, pin_name_table!$A$2:$A$171,pin_name_table!$B$2:$B$171,"")</f>
        <v>11</v>
      </c>
      <c r="H20" s="12">
        <v>11</v>
      </c>
    </row>
    <row r="21" spans="1:8" x14ac:dyDescent="0.25">
      <c r="A21" s="12">
        <v>28</v>
      </c>
      <c r="B21" s="1" t="s">
        <v>204</v>
      </c>
      <c r="C21" s="1" t="s">
        <v>205</v>
      </c>
      <c r="D21" s="1" t="s">
        <v>413</v>
      </c>
      <c r="E21" s="1" t="s">
        <v>16</v>
      </c>
      <c r="F21" s="1" t="s">
        <v>260</v>
      </c>
      <c r="G21" s="1">
        <f>_xlfn.XLOOKUP(F21, pin_name_table!$A$2:$A$171,pin_name_table!$B$2:$B$171,"")</f>
        <v>12</v>
      </c>
      <c r="H21" s="12">
        <v>12</v>
      </c>
    </row>
    <row r="22" spans="1:8" x14ac:dyDescent="0.25">
      <c r="A22" s="12">
        <v>29</v>
      </c>
      <c r="B22" s="1" t="s">
        <v>22</v>
      </c>
      <c r="C22" s="1" t="s">
        <v>23</v>
      </c>
      <c r="D22" s="1" t="s">
        <v>414</v>
      </c>
      <c r="E22" s="1" t="s">
        <v>16</v>
      </c>
      <c r="F22" s="1" t="s">
        <v>26</v>
      </c>
      <c r="G22" s="1">
        <f>_xlfn.XLOOKUP(F22, pin_name_table!$A$2:$A$171,pin_name_table!$B$2:$B$171,"")</f>
        <v>13</v>
      </c>
      <c r="H22" s="12">
        <v>13</v>
      </c>
    </row>
    <row r="23" spans="1:8" x14ac:dyDescent="0.25">
      <c r="A23" s="12">
        <v>31</v>
      </c>
      <c r="B23" s="1" t="s">
        <v>214</v>
      </c>
      <c r="C23" s="1" t="s">
        <v>215</v>
      </c>
      <c r="D23" s="1" t="s">
        <v>415</v>
      </c>
      <c r="E23" s="1" t="s">
        <v>59</v>
      </c>
      <c r="F23" s="1" t="s">
        <v>217</v>
      </c>
      <c r="G23" s="1">
        <f>_xlfn.XLOOKUP(F23, pin_name_table!$A$2:$A$171,pin_name_table!$B$2:$B$171,"")</f>
        <v>3</v>
      </c>
      <c r="H23" s="12">
        <v>3</v>
      </c>
    </row>
    <row r="24" spans="1:8" x14ac:dyDescent="0.25">
      <c r="A24" s="1">
        <v>32</v>
      </c>
      <c r="B24" s="1" t="s">
        <v>31</v>
      </c>
      <c r="C24" s="1">
        <v>128</v>
      </c>
      <c r="D24" s="1" t="s">
        <v>416</v>
      </c>
      <c r="E24" s="1" t="s">
        <v>16</v>
      </c>
      <c r="F24" s="1" t="s">
        <v>34</v>
      </c>
      <c r="G24" s="1">
        <f>_xlfn.XLOOKUP(F24, pin_name_table!$A$2:$A$171,pin_name_table!$B$2:$B$171,"")</f>
        <v>14</v>
      </c>
      <c r="H24" s="1">
        <v>14</v>
      </c>
    </row>
    <row r="25" spans="1:8" x14ac:dyDescent="0.25">
      <c r="A25" s="1">
        <v>33</v>
      </c>
      <c r="B25" s="1" t="s">
        <v>222</v>
      </c>
      <c r="C25" s="1">
        <v>187</v>
      </c>
      <c r="D25" s="1" t="s">
        <v>417</v>
      </c>
      <c r="E25" s="1" t="s">
        <v>67</v>
      </c>
      <c r="F25" s="1" t="s">
        <v>224</v>
      </c>
      <c r="G25" s="1">
        <f>_xlfn.XLOOKUP(F25, pin_name_table!$A$2:$A$171,pin_name_table!$B$2:$B$171,"")</f>
        <v>2</v>
      </c>
      <c r="H25" s="1">
        <v>4</v>
      </c>
    </row>
    <row r="26" spans="1:8" x14ac:dyDescent="0.25">
      <c r="A26" s="1">
        <v>35</v>
      </c>
      <c r="B26" s="1" t="s">
        <v>79</v>
      </c>
      <c r="C26" s="1">
        <v>86</v>
      </c>
      <c r="D26" s="1" t="s">
        <v>418</v>
      </c>
      <c r="E26" s="1" t="s">
        <v>16</v>
      </c>
      <c r="F26" s="1" t="s">
        <v>82</v>
      </c>
      <c r="G26" s="1">
        <f>_xlfn.XLOOKUP(F26, pin_name_table!$A$2:$A$171,pin_name_table!$B$2:$B$171,"")</f>
        <v>38</v>
      </c>
      <c r="H26" s="1">
        <v>64</v>
      </c>
    </row>
    <row r="27" spans="1:8" x14ac:dyDescent="0.25">
      <c r="A27" s="1">
        <v>36</v>
      </c>
      <c r="B27" s="1" t="s">
        <v>228</v>
      </c>
      <c r="C27" s="1">
        <v>188</v>
      </c>
      <c r="D27" s="1" t="s">
        <v>419</v>
      </c>
      <c r="E27" s="1" t="s">
        <v>73</v>
      </c>
      <c r="F27" s="1" t="s">
        <v>230</v>
      </c>
      <c r="G27" s="1">
        <f>_xlfn.XLOOKUP(F27, pin_name_table!$A$2:$A$171,pin_name_table!$B$2:$B$171,"")</f>
        <v>1</v>
      </c>
      <c r="H27" s="1">
        <v>5</v>
      </c>
    </row>
    <row r="28" spans="1:8" x14ac:dyDescent="0.25">
      <c r="A28" s="1">
        <v>37</v>
      </c>
      <c r="B28" s="1" t="s">
        <v>234</v>
      </c>
      <c r="C28" s="1">
        <v>189</v>
      </c>
      <c r="D28" s="1" t="s">
        <v>420</v>
      </c>
      <c r="E28" s="1" t="s">
        <v>78</v>
      </c>
      <c r="F28" s="1" t="s">
        <v>199</v>
      </c>
      <c r="G28" s="1">
        <f>_xlfn.XLOOKUP(F28, pin_name_table!$A$2:$A$171,pin_name_table!$B$2:$B$171,"")</f>
        <v>0</v>
      </c>
      <c r="H28" s="1">
        <v>6</v>
      </c>
    </row>
    <row r="29" spans="1:8" x14ac:dyDescent="0.25">
      <c r="A29" s="1">
        <v>38</v>
      </c>
      <c r="B29" s="1" t="s">
        <v>86</v>
      </c>
      <c r="C29" s="1">
        <v>85</v>
      </c>
      <c r="D29" s="1" t="s">
        <v>421</v>
      </c>
      <c r="E29" s="1" t="s">
        <v>16</v>
      </c>
      <c r="F29" s="1" t="s">
        <v>89</v>
      </c>
      <c r="G29" s="1">
        <f>_xlfn.XLOOKUP(F29, pin_name_table!$A$2:$A$171,pin_name_table!$B$2:$B$171,"")</f>
        <v>61</v>
      </c>
      <c r="H29" s="1">
        <v>65</v>
      </c>
    </row>
    <row r="30" spans="1:8" x14ac:dyDescent="0.25">
      <c r="A30" s="1">
        <v>40</v>
      </c>
      <c r="B30" s="1" t="s">
        <v>94</v>
      </c>
      <c r="C30" s="1">
        <v>88</v>
      </c>
      <c r="D30" s="1" t="s">
        <v>422</v>
      </c>
      <c r="E30" s="1" t="s">
        <v>16</v>
      </c>
      <c r="F30" s="1" t="s">
        <v>97</v>
      </c>
      <c r="G30" s="1">
        <f>_xlfn.XLOOKUP(F30, pin_name_table!$A$2:$A$171,pin_name_table!$B$2:$B$171,"")</f>
        <v>62</v>
      </c>
      <c r="H30" s="1">
        <v>66</v>
      </c>
    </row>
    <row r="32" spans="1:8" s="5" customFormat="1" x14ac:dyDescent="0.25">
      <c r="A32" s="4" t="s">
        <v>423</v>
      </c>
    </row>
    <row r="33" spans="1:8" s="9" customFormat="1" ht="30" x14ac:dyDescent="0.25">
      <c r="A33" s="8" t="s">
        <v>1</v>
      </c>
      <c r="B33" s="8" t="s">
        <v>2</v>
      </c>
      <c r="C33" s="8" t="s">
        <v>3</v>
      </c>
      <c r="D33" s="8" t="s">
        <v>5</v>
      </c>
      <c r="F33" s="8" t="s">
        <v>6</v>
      </c>
      <c r="G33" s="8"/>
      <c r="H33" s="8" t="s">
        <v>7</v>
      </c>
    </row>
    <row r="34" spans="1:8" x14ac:dyDescent="0.25">
      <c r="A34" s="12">
        <v>1</v>
      </c>
      <c r="B34" s="1" t="s">
        <v>424</v>
      </c>
      <c r="C34" s="1" t="s">
        <v>135</v>
      </c>
      <c r="D34" s="1" t="s">
        <v>424</v>
      </c>
      <c r="F34" s="1" t="s">
        <v>137</v>
      </c>
      <c r="G34" s="1" t="str">
        <f>_xlfn.XLOOKUP(F34, pin_name_table!$A$2:$A$171,pin_name_table!$B$2:$B$171,"")</f>
        <v/>
      </c>
      <c r="H34" s="12">
        <v>15</v>
      </c>
    </row>
    <row r="35" spans="1:8" x14ac:dyDescent="0.25">
      <c r="A35" s="12">
        <v>2</v>
      </c>
      <c r="B35" s="1" t="s">
        <v>425</v>
      </c>
      <c r="C35" s="1" t="s">
        <v>142</v>
      </c>
      <c r="D35" s="1" t="s">
        <v>425</v>
      </c>
      <c r="F35" s="1" t="s">
        <v>144</v>
      </c>
      <c r="G35" s="1" t="str">
        <f>_xlfn.XLOOKUP(F35, pin_name_table!$A$2:$A$171,pin_name_table!$B$2:$B$171,"")</f>
        <v/>
      </c>
      <c r="H35" s="12">
        <v>16</v>
      </c>
    </row>
    <row r="36" spans="1:8" x14ac:dyDescent="0.25">
      <c r="A36" s="12">
        <v>3</v>
      </c>
      <c r="B36" s="1" t="s">
        <v>426</v>
      </c>
      <c r="C36" s="1" t="s">
        <v>149</v>
      </c>
      <c r="D36" s="1" t="s">
        <v>426</v>
      </c>
      <c r="F36" s="1" t="s">
        <v>151</v>
      </c>
      <c r="G36" s="1" t="str">
        <f>_xlfn.XLOOKUP(F36, pin_name_table!$A$2:$A$171,pin_name_table!$B$2:$B$171,"")</f>
        <v/>
      </c>
      <c r="H36" s="12">
        <v>17</v>
      </c>
    </row>
    <row r="37" spans="1:8" x14ac:dyDescent="0.25">
      <c r="A37" s="12">
        <v>4</v>
      </c>
      <c r="B37" s="1" t="s">
        <v>427</v>
      </c>
      <c r="C37" s="1" t="s">
        <v>156</v>
      </c>
      <c r="D37" s="1" t="s">
        <v>427</v>
      </c>
      <c r="F37" s="1" t="s">
        <v>158</v>
      </c>
      <c r="G37" s="1" t="str">
        <f>_xlfn.XLOOKUP(F37, pin_name_table!$A$2:$A$171,pin_name_table!$B$2:$B$171,"")</f>
        <v/>
      </c>
      <c r="H37" s="12">
        <v>18</v>
      </c>
    </row>
    <row r="38" spans="1:8" x14ac:dyDescent="0.25">
      <c r="A38" s="12">
        <v>5</v>
      </c>
      <c r="B38" s="1" t="s">
        <v>428</v>
      </c>
      <c r="C38" s="1" t="s">
        <v>163</v>
      </c>
      <c r="D38" s="1" t="s">
        <v>428</v>
      </c>
      <c r="F38" s="1" t="s">
        <v>165</v>
      </c>
      <c r="G38" s="1">
        <f>_xlfn.XLOOKUP(F38, pin_name_table!$A$2:$A$171,pin_name_table!$B$2:$B$171,"")</f>
        <v>0</v>
      </c>
      <c r="H38" s="12">
        <v>19</v>
      </c>
    </row>
    <row r="39" spans="1:8" x14ac:dyDescent="0.25">
      <c r="A39" s="12">
        <v>6</v>
      </c>
      <c r="B39" s="1" t="s">
        <v>429</v>
      </c>
      <c r="C39" s="1" t="s">
        <v>171</v>
      </c>
      <c r="D39" s="1" t="s">
        <v>429</v>
      </c>
      <c r="F39" s="1" t="s">
        <v>173</v>
      </c>
      <c r="G39" s="1">
        <f>_xlfn.XLOOKUP(F39, pin_name_table!$A$2:$A$171,pin_name_table!$B$2:$B$171,"")</f>
        <v>8</v>
      </c>
      <c r="H39" s="12">
        <v>20</v>
      </c>
    </row>
    <row r="40" spans="1:8" x14ac:dyDescent="0.25">
      <c r="A40" s="12">
        <v>7</v>
      </c>
      <c r="B40" s="1" t="s">
        <v>430</v>
      </c>
      <c r="C40" s="1" t="s">
        <v>178</v>
      </c>
      <c r="D40" s="1" t="s">
        <v>430</v>
      </c>
      <c r="F40" s="1" t="s">
        <v>180</v>
      </c>
      <c r="G40" s="1">
        <f>_xlfn.XLOOKUP(F40, pin_name_table!$A$2:$A$171,pin_name_table!$B$2:$B$171,"")</f>
        <v>21</v>
      </c>
      <c r="H40" s="12">
        <v>21</v>
      </c>
    </row>
    <row r="41" spans="1:8" x14ac:dyDescent="0.25">
      <c r="A41" s="12">
        <v>8</v>
      </c>
      <c r="B41" s="1" t="s">
        <v>431</v>
      </c>
      <c r="C41" s="1" t="s">
        <v>186</v>
      </c>
      <c r="D41" s="1" t="s">
        <v>431</v>
      </c>
      <c r="F41" s="1" t="s">
        <v>188</v>
      </c>
      <c r="G41" s="1">
        <f>_xlfn.XLOOKUP(F41, pin_name_table!$A$2:$A$171,pin_name_table!$B$2:$B$171,"")</f>
        <v>22</v>
      </c>
      <c r="H41" s="12">
        <v>22</v>
      </c>
    </row>
    <row r="42" spans="1:8" x14ac:dyDescent="0.25">
      <c r="A42" s="12">
        <v>9</v>
      </c>
      <c r="B42" s="1" t="s">
        <v>239</v>
      </c>
      <c r="C42" s="1" t="s">
        <v>432</v>
      </c>
      <c r="D42" s="1" t="s">
        <v>203</v>
      </c>
      <c r="F42" s="1" t="s">
        <v>241</v>
      </c>
      <c r="G42" s="1">
        <f>_xlfn.XLOOKUP(F42, pin_name_table!$A$2:$A$171,pin_name_table!$B$2:$B$171,"")</f>
        <v>74</v>
      </c>
      <c r="H42" s="12">
        <v>23</v>
      </c>
    </row>
    <row r="43" spans="1:8" x14ac:dyDescent="0.25">
      <c r="A43" s="12">
        <v>10</v>
      </c>
      <c r="B43" s="1" t="s">
        <v>245</v>
      </c>
      <c r="C43" s="1" t="s">
        <v>433</v>
      </c>
      <c r="D43" s="1" t="s">
        <v>294</v>
      </c>
      <c r="F43" s="1" t="s">
        <v>247</v>
      </c>
      <c r="G43" s="1">
        <f>_xlfn.XLOOKUP(F43, pin_name_table!$A$2:$A$171,pin_name_table!$B$2:$B$171,"")</f>
        <v>77</v>
      </c>
      <c r="H43" s="12">
        <v>24</v>
      </c>
    </row>
    <row r="44" spans="1:8" x14ac:dyDescent="0.25">
      <c r="A44" s="12">
        <v>12</v>
      </c>
      <c r="B44" s="1" t="s">
        <v>434</v>
      </c>
      <c r="C44" s="1" t="s">
        <v>435</v>
      </c>
      <c r="D44" s="1" t="s">
        <v>352</v>
      </c>
      <c r="F44" s="1" t="s">
        <v>112</v>
      </c>
      <c r="G44" s="1">
        <f>_xlfn.XLOOKUP(F44, pin_name_table!$A$2:$A$171,pin_name_table!$B$2:$B$171,"")</f>
        <v>41</v>
      </c>
      <c r="H44" s="12">
        <v>27</v>
      </c>
    </row>
    <row r="45" spans="1:8" x14ac:dyDescent="0.25">
      <c r="A45" s="12">
        <v>14</v>
      </c>
      <c r="B45" s="1" t="s">
        <v>56</v>
      </c>
      <c r="C45" s="1" t="s">
        <v>57</v>
      </c>
      <c r="D45" s="1" t="s">
        <v>16</v>
      </c>
      <c r="F45" s="1" t="s">
        <v>60</v>
      </c>
      <c r="G45" s="1">
        <f>_xlfn.XLOOKUP(F45, pin_name_table!$A$2:$A$171,pin_name_table!$B$2:$B$171,"")</f>
        <v>53</v>
      </c>
      <c r="H45" s="12">
        <v>57</v>
      </c>
    </row>
    <row r="46" spans="1:8" x14ac:dyDescent="0.25">
      <c r="A46" s="12">
        <v>16</v>
      </c>
      <c r="B46" s="1" t="s">
        <v>48</v>
      </c>
      <c r="C46" s="1" t="s">
        <v>49</v>
      </c>
      <c r="D46" s="1" t="s">
        <v>16</v>
      </c>
      <c r="F46" s="1" t="s">
        <v>51</v>
      </c>
      <c r="G46" s="1">
        <f>_xlfn.XLOOKUP(F46, pin_name_table!$A$2:$A$171,pin_name_table!$B$2:$B$171,"")</f>
        <v>51</v>
      </c>
      <c r="H46" s="12">
        <v>58</v>
      </c>
    </row>
    <row r="48" spans="1:8" s="5" customFormat="1" x14ac:dyDescent="0.25">
      <c r="A48" s="4" t="s">
        <v>436</v>
      </c>
    </row>
    <row r="49" spans="1:8" s="9" customFormat="1" ht="30" x14ac:dyDescent="0.25">
      <c r="A49" s="8" t="s">
        <v>2</v>
      </c>
      <c r="B49" s="8" t="s">
        <v>3</v>
      </c>
      <c r="D49" s="8" t="s">
        <v>5</v>
      </c>
      <c r="F49" s="8" t="s">
        <v>6</v>
      </c>
      <c r="H49" s="8" t="s">
        <v>7</v>
      </c>
    </row>
    <row r="50" spans="1:8" x14ac:dyDescent="0.25">
      <c r="A50" s="1" t="s">
        <v>437</v>
      </c>
      <c r="B50" s="1" t="s">
        <v>438</v>
      </c>
      <c r="D50" s="1" t="s">
        <v>348</v>
      </c>
      <c r="F50" s="1" t="s">
        <v>129</v>
      </c>
      <c r="G50" s="1">
        <f>_xlfn.XLOOKUP(F50, pin_name_table!$A$2:$A$171,pin_name_table!$B$2:$B$171,"")</f>
        <v>45</v>
      </c>
      <c r="H50" s="12">
        <v>30</v>
      </c>
    </row>
    <row r="52" spans="1:8" s="5" customFormat="1" x14ac:dyDescent="0.25">
      <c r="A52" s="4" t="s">
        <v>439</v>
      </c>
    </row>
    <row r="53" spans="1:8" s="9" customFormat="1" ht="30" x14ac:dyDescent="0.25">
      <c r="A53" s="8" t="s">
        <v>1</v>
      </c>
      <c r="B53" s="8" t="s">
        <v>2</v>
      </c>
      <c r="C53" s="8" t="s">
        <v>3</v>
      </c>
      <c r="D53" s="8" t="s">
        <v>5</v>
      </c>
      <c r="F53" s="8" t="s">
        <v>6</v>
      </c>
      <c r="G53" s="8"/>
      <c r="H53" s="8" t="s">
        <v>7</v>
      </c>
    </row>
    <row r="54" spans="1:8" x14ac:dyDescent="0.25">
      <c r="A54" s="12">
        <v>1</v>
      </c>
      <c r="B54" s="1" t="s">
        <v>251</v>
      </c>
      <c r="C54" s="1" t="s">
        <v>440</v>
      </c>
      <c r="D54" s="1" t="s">
        <v>312</v>
      </c>
      <c r="F54" s="1" t="s">
        <v>253</v>
      </c>
      <c r="G54" s="1">
        <f>_xlfn.XLOOKUP(F54, pin_name_table!$A$2:$A$171,pin_name_table!$B$2:$B$171,"")</f>
        <v>54</v>
      </c>
      <c r="H54" s="12">
        <v>25</v>
      </c>
    </row>
  </sheetData>
  <conditionalFormatting sqref="G1:G1048576">
    <cfRule type="cellIs" dxfId="0" priority="1" operator="between">
      <formula>26</formula>
      <formula>99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7EAD49-FC0B-4E4D-BF2E-99D8C50CFECD}">
  <dimension ref="A1:B171"/>
  <sheetViews>
    <sheetView topLeftCell="A109" workbookViewId="0">
      <selection activeCell="A162" sqref="A162"/>
    </sheetView>
  </sheetViews>
  <sheetFormatPr defaultRowHeight="15" x14ac:dyDescent="0.25"/>
  <cols>
    <col min="1" max="2" width="11.42578125" bestFit="1" customWidth="1"/>
  </cols>
  <sheetData>
    <row r="1" spans="1:2" x14ac:dyDescent="0.25">
      <c r="A1" t="s">
        <v>259</v>
      </c>
      <c r="B1" t="s">
        <v>286</v>
      </c>
    </row>
    <row r="2" spans="1:2" x14ac:dyDescent="0.25">
      <c r="A2" t="s">
        <v>30</v>
      </c>
      <c r="B2">
        <v>27</v>
      </c>
    </row>
    <row r="3" spans="1:2" x14ac:dyDescent="0.25">
      <c r="A3" t="s">
        <v>287</v>
      </c>
    </row>
    <row r="4" spans="1:2" x14ac:dyDescent="0.25">
      <c r="A4" t="s">
        <v>288</v>
      </c>
    </row>
    <row r="5" spans="1:2" x14ac:dyDescent="0.25">
      <c r="A5" t="s">
        <v>289</v>
      </c>
    </row>
    <row r="6" spans="1:2" x14ac:dyDescent="0.25">
      <c r="A6" t="s">
        <v>290</v>
      </c>
      <c r="B6">
        <v>21</v>
      </c>
    </row>
    <row r="7" spans="1:2" x14ac:dyDescent="0.25">
      <c r="A7" t="s">
        <v>180</v>
      </c>
      <c r="B7">
        <v>21</v>
      </c>
    </row>
    <row r="8" spans="1:2" x14ac:dyDescent="0.25">
      <c r="A8" t="s">
        <v>291</v>
      </c>
    </row>
    <row r="9" spans="1:2" x14ac:dyDescent="0.25">
      <c r="A9" t="s">
        <v>292</v>
      </c>
      <c r="B9">
        <v>22</v>
      </c>
    </row>
    <row r="10" spans="1:2" x14ac:dyDescent="0.25">
      <c r="A10" t="s">
        <v>188</v>
      </c>
      <c r="B10">
        <v>22</v>
      </c>
    </row>
    <row r="11" spans="1:2" x14ac:dyDescent="0.25">
      <c r="A11" t="s">
        <v>293</v>
      </c>
    </row>
    <row r="12" spans="1:2" x14ac:dyDescent="0.25">
      <c r="A12" t="s">
        <v>78</v>
      </c>
      <c r="B12">
        <v>6</v>
      </c>
    </row>
    <row r="13" spans="1:2" x14ac:dyDescent="0.25">
      <c r="A13" t="s">
        <v>34</v>
      </c>
      <c r="B13">
        <v>14</v>
      </c>
    </row>
    <row r="14" spans="1:2" x14ac:dyDescent="0.25">
      <c r="A14" t="s">
        <v>26</v>
      </c>
      <c r="B14">
        <v>13</v>
      </c>
    </row>
    <row r="15" spans="1:2" x14ac:dyDescent="0.25">
      <c r="A15" t="s">
        <v>67</v>
      </c>
      <c r="B15">
        <v>28</v>
      </c>
    </row>
    <row r="16" spans="1:2" x14ac:dyDescent="0.25">
      <c r="A16" t="s">
        <v>294</v>
      </c>
      <c r="B16">
        <v>29</v>
      </c>
    </row>
    <row r="17" spans="1:2" x14ac:dyDescent="0.25">
      <c r="A17" t="s">
        <v>295</v>
      </c>
      <c r="B17">
        <v>30</v>
      </c>
    </row>
    <row r="18" spans="1:2" x14ac:dyDescent="0.25">
      <c r="A18" t="s">
        <v>296</v>
      </c>
      <c r="B18">
        <v>31</v>
      </c>
    </row>
    <row r="19" spans="1:2" x14ac:dyDescent="0.25">
      <c r="A19" t="s">
        <v>297</v>
      </c>
    </row>
    <row r="20" spans="1:2" x14ac:dyDescent="0.25">
      <c r="A20" t="s">
        <v>298</v>
      </c>
    </row>
    <row r="21" spans="1:2" x14ac:dyDescent="0.25">
      <c r="A21" t="s">
        <v>299</v>
      </c>
    </row>
    <row r="22" spans="1:2" x14ac:dyDescent="0.25">
      <c r="A22" t="s">
        <v>109</v>
      </c>
      <c r="B22">
        <v>32</v>
      </c>
    </row>
    <row r="23" spans="1:2" x14ac:dyDescent="0.25">
      <c r="A23" t="s">
        <v>300</v>
      </c>
      <c r="B23">
        <v>33</v>
      </c>
    </row>
    <row r="24" spans="1:2" x14ac:dyDescent="0.25">
      <c r="A24" t="s">
        <v>301</v>
      </c>
      <c r="B24">
        <v>34</v>
      </c>
    </row>
    <row r="25" spans="1:2" x14ac:dyDescent="0.25">
      <c r="A25" t="s">
        <v>302</v>
      </c>
    </row>
    <row r="26" spans="1:2" x14ac:dyDescent="0.25">
      <c r="A26" t="s">
        <v>221</v>
      </c>
      <c r="B26">
        <v>35</v>
      </c>
    </row>
    <row r="27" spans="1:2" x14ac:dyDescent="0.25">
      <c r="A27" t="s">
        <v>213</v>
      </c>
      <c r="B27">
        <v>36</v>
      </c>
    </row>
    <row r="28" spans="1:2" x14ac:dyDescent="0.25">
      <c r="A28" t="s">
        <v>101</v>
      </c>
      <c r="B28">
        <v>37</v>
      </c>
    </row>
    <row r="29" spans="1:2" x14ac:dyDescent="0.25">
      <c r="A29" t="s">
        <v>82</v>
      </c>
      <c r="B29">
        <v>38</v>
      </c>
    </row>
    <row r="30" spans="1:2" x14ac:dyDescent="0.25">
      <c r="A30" t="s">
        <v>59</v>
      </c>
    </row>
    <row r="31" spans="1:2" x14ac:dyDescent="0.25">
      <c r="A31" t="s">
        <v>303</v>
      </c>
    </row>
    <row r="32" spans="1:2" x14ac:dyDescent="0.25">
      <c r="A32" t="s">
        <v>304</v>
      </c>
    </row>
    <row r="33" spans="1:2" x14ac:dyDescent="0.25">
      <c r="A33" t="s">
        <v>305</v>
      </c>
    </row>
    <row r="34" spans="1:2" x14ac:dyDescent="0.25">
      <c r="A34" t="s">
        <v>306</v>
      </c>
      <c r="B34">
        <v>39</v>
      </c>
    </row>
    <row r="35" spans="1:2" x14ac:dyDescent="0.25">
      <c r="A35" t="s">
        <v>307</v>
      </c>
      <c r="B35">
        <v>40</v>
      </c>
    </row>
    <row r="36" spans="1:2" x14ac:dyDescent="0.25">
      <c r="A36" t="s">
        <v>308</v>
      </c>
    </row>
    <row r="37" spans="1:2" x14ac:dyDescent="0.25">
      <c r="A37" t="s">
        <v>309</v>
      </c>
    </row>
    <row r="38" spans="1:2" x14ac:dyDescent="0.25">
      <c r="A38" t="s">
        <v>184</v>
      </c>
      <c r="B38">
        <v>10</v>
      </c>
    </row>
    <row r="39" spans="1:2" x14ac:dyDescent="0.25">
      <c r="A39" t="s">
        <v>165</v>
      </c>
    </row>
    <row r="40" spans="1:2" x14ac:dyDescent="0.25">
      <c r="A40" t="s">
        <v>192</v>
      </c>
      <c r="B40">
        <v>8</v>
      </c>
    </row>
    <row r="41" spans="1:2" x14ac:dyDescent="0.25">
      <c r="A41" t="s">
        <v>173</v>
      </c>
      <c r="B41">
        <v>8</v>
      </c>
    </row>
    <row r="42" spans="1:2" x14ac:dyDescent="0.25">
      <c r="A42" t="s">
        <v>310</v>
      </c>
    </row>
    <row r="43" spans="1:2" x14ac:dyDescent="0.25">
      <c r="A43" t="s">
        <v>311</v>
      </c>
    </row>
    <row r="44" spans="1:2" x14ac:dyDescent="0.25">
      <c r="A44" t="s">
        <v>203</v>
      </c>
      <c r="B44">
        <v>5</v>
      </c>
    </row>
    <row r="45" spans="1:2" x14ac:dyDescent="0.25">
      <c r="A45" t="s">
        <v>11</v>
      </c>
      <c r="B45">
        <v>4</v>
      </c>
    </row>
    <row r="46" spans="1:2" x14ac:dyDescent="0.25">
      <c r="A46" t="s">
        <v>312</v>
      </c>
    </row>
    <row r="47" spans="1:2" x14ac:dyDescent="0.25">
      <c r="A47" t="s">
        <v>313</v>
      </c>
    </row>
    <row r="48" spans="1:2" x14ac:dyDescent="0.25">
      <c r="A48" t="s">
        <v>314</v>
      </c>
    </row>
    <row r="49" spans="1:2" x14ac:dyDescent="0.25">
      <c r="A49" t="s">
        <v>315</v>
      </c>
    </row>
    <row r="50" spans="1:2" x14ac:dyDescent="0.25">
      <c r="A50" t="s">
        <v>316</v>
      </c>
    </row>
    <row r="51" spans="1:2" x14ac:dyDescent="0.25">
      <c r="A51" t="s">
        <v>112</v>
      </c>
      <c r="B51">
        <v>41</v>
      </c>
    </row>
    <row r="52" spans="1:2" x14ac:dyDescent="0.25">
      <c r="A52" t="s">
        <v>317</v>
      </c>
    </row>
    <row r="53" spans="1:2" x14ac:dyDescent="0.25">
      <c r="A53" t="s">
        <v>117</v>
      </c>
      <c r="B53">
        <v>42</v>
      </c>
    </row>
    <row r="54" spans="1:2" x14ac:dyDescent="0.25">
      <c r="A54" t="s">
        <v>318</v>
      </c>
    </row>
    <row r="55" spans="1:2" x14ac:dyDescent="0.25">
      <c r="A55" t="s">
        <v>319</v>
      </c>
    </row>
    <row r="56" spans="1:2" x14ac:dyDescent="0.25">
      <c r="A56" t="s">
        <v>320</v>
      </c>
    </row>
    <row r="57" spans="1:2" x14ac:dyDescent="0.25">
      <c r="A57" t="s">
        <v>74</v>
      </c>
      <c r="B57">
        <v>43</v>
      </c>
    </row>
    <row r="58" spans="1:2" x14ac:dyDescent="0.25">
      <c r="A58" t="s">
        <v>123</v>
      </c>
      <c r="B58">
        <v>44</v>
      </c>
    </row>
    <row r="59" spans="1:2" x14ac:dyDescent="0.25">
      <c r="A59" t="s">
        <v>129</v>
      </c>
      <c r="B59">
        <v>45</v>
      </c>
    </row>
    <row r="60" spans="1:2" x14ac:dyDescent="0.25">
      <c r="A60" t="s">
        <v>321</v>
      </c>
      <c r="B60">
        <v>46</v>
      </c>
    </row>
    <row r="61" spans="1:2" x14ac:dyDescent="0.25">
      <c r="A61" t="s">
        <v>322</v>
      </c>
      <c r="B61">
        <v>47</v>
      </c>
    </row>
    <row r="62" spans="1:2" x14ac:dyDescent="0.25">
      <c r="A62" t="s">
        <v>323</v>
      </c>
    </row>
    <row r="63" spans="1:2" x14ac:dyDescent="0.25">
      <c r="A63" t="s">
        <v>324</v>
      </c>
    </row>
    <row r="64" spans="1:2" x14ac:dyDescent="0.25">
      <c r="A64" t="s">
        <v>325</v>
      </c>
    </row>
    <row r="65" spans="1:2" x14ac:dyDescent="0.25">
      <c r="A65" t="s">
        <v>326</v>
      </c>
    </row>
    <row r="66" spans="1:2" x14ac:dyDescent="0.25">
      <c r="A66" t="s">
        <v>327</v>
      </c>
    </row>
    <row r="67" spans="1:2" x14ac:dyDescent="0.25">
      <c r="A67" t="s">
        <v>328</v>
      </c>
    </row>
    <row r="68" spans="1:2" x14ac:dyDescent="0.25">
      <c r="A68" t="s">
        <v>329</v>
      </c>
    </row>
    <row r="69" spans="1:2" x14ac:dyDescent="0.25">
      <c r="A69" t="s">
        <v>73</v>
      </c>
    </row>
    <row r="70" spans="1:2" x14ac:dyDescent="0.25">
      <c r="A70" t="s">
        <v>330</v>
      </c>
    </row>
    <row r="71" spans="1:2" x14ac:dyDescent="0.25">
      <c r="A71" t="s">
        <v>331</v>
      </c>
    </row>
    <row r="72" spans="1:2" x14ac:dyDescent="0.25">
      <c r="A72" t="s">
        <v>332</v>
      </c>
      <c r="B72">
        <v>48</v>
      </c>
    </row>
    <row r="73" spans="1:2" x14ac:dyDescent="0.25">
      <c r="A73" t="s">
        <v>132</v>
      </c>
      <c r="B73">
        <v>49</v>
      </c>
    </row>
    <row r="74" spans="1:2" x14ac:dyDescent="0.25">
      <c r="A74" t="s">
        <v>333</v>
      </c>
    </row>
    <row r="75" spans="1:2" x14ac:dyDescent="0.25">
      <c r="A75" t="s">
        <v>334</v>
      </c>
    </row>
    <row r="76" spans="1:2" x14ac:dyDescent="0.25">
      <c r="A76" t="s">
        <v>335</v>
      </c>
    </row>
    <row r="77" spans="1:2" x14ac:dyDescent="0.25">
      <c r="A77" t="s">
        <v>336</v>
      </c>
    </row>
    <row r="78" spans="1:2" x14ac:dyDescent="0.25">
      <c r="A78" t="s">
        <v>337</v>
      </c>
    </row>
    <row r="79" spans="1:2" x14ac:dyDescent="0.25">
      <c r="A79" t="s">
        <v>338</v>
      </c>
    </row>
    <row r="80" spans="1:2" x14ac:dyDescent="0.25">
      <c r="A80" t="s">
        <v>339</v>
      </c>
    </row>
    <row r="81" spans="1:1" x14ac:dyDescent="0.25">
      <c r="A81" t="s">
        <v>25</v>
      </c>
    </row>
    <row r="82" spans="1:1" x14ac:dyDescent="0.25">
      <c r="A82" t="s">
        <v>340</v>
      </c>
    </row>
    <row r="83" spans="1:1" x14ac:dyDescent="0.25">
      <c r="A83" t="s">
        <v>341</v>
      </c>
    </row>
    <row r="84" spans="1:1" x14ac:dyDescent="0.25">
      <c r="A84" t="s">
        <v>342</v>
      </c>
    </row>
    <row r="85" spans="1:1" x14ac:dyDescent="0.25">
      <c r="A85" t="s">
        <v>343</v>
      </c>
    </row>
    <row r="86" spans="1:1" x14ac:dyDescent="0.25">
      <c r="A86" t="s">
        <v>344</v>
      </c>
    </row>
    <row r="87" spans="1:1" x14ac:dyDescent="0.25">
      <c r="A87" t="s">
        <v>345</v>
      </c>
    </row>
    <row r="88" spans="1:1" x14ac:dyDescent="0.25">
      <c r="A88" t="s">
        <v>346</v>
      </c>
    </row>
    <row r="89" spans="1:1" x14ac:dyDescent="0.25">
      <c r="A89" t="s">
        <v>347</v>
      </c>
    </row>
    <row r="90" spans="1:1" x14ac:dyDescent="0.25">
      <c r="A90" t="s">
        <v>348</v>
      </c>
    </row>
    <row r="91" spans="1:1" x14ac:dyDescent="0.25">
      <c r="A91" t="s">
        <v>349</v>
      </c>
    </row>
    <row r="92" spans="1:1" x14ac:dyDescent="0.25">
      <c r="A92" t="s">
        <v>350</v>
      </c>
    </row>
    <row r="93" spans="1:1" x14ac:dyDescent="0.25">
      <c r="A93" t="s">
        <v>351</v>
      </c>
    </row>
    <row r="94" spans="1:1" x14ac:dyDescent="0.25">
      <c r="A94" t="s">
        <v>352</v>
      </c>
    </row>
    <row r="95" spans="1:1" x14ac:dyDescent="0.25">
      <c r="A95" t="s">
        <v>353</v>
      </c>
    </row>
    <row r="96" spans="1:1" x14ac:dyDescent="0.25">
      <c r="A96" t="s">
        <v>354</v>
      </c>
    </row>
    <row r="97" spans="1:2" x14ac:dyDescent="0.25">
      <c r="A97" t="s">
        <v>355</v>
      </c>
    </row>
    <row r="98" spans="1:2" x14ac:dyDescent="0.25">
      <c r="A98" t="s">
        <v>356</v>
      </c>
    </row>
    <row r="99" spans="1:2" x14ac:dyDescent="0.25">
      <c r="A99" t="s">
        <v>357</v>
      </c>
    </row>
    <row r="100" spans="1:2" x14ac:dyDescent="0.25">
      <c r="A100" t="s">
        <v>358</v>
      </c>
    </row>
    <row r="101" spans="1:2" x14ac:dyDescent="0.25">
      <c r="A101" t="s">
        <v>359</v>
      </c>
    </row>
    <row r="102" spans="1:2" x14ac:dyDescent="0.25">
      <c r="A102" t="s">
        <v>360</v>
      </c>
    </row>
    <row r="103" spans="1:2" x14ac:dyDescent="0.25">
      <c r="A103" t="s">
        <v>361</v>
      </c>
    </row>
    <row r="104" spans="1:2" x14ac:dyDescent="0.25">
      <c r="A104" t="s">
        <v>362</v>
      </c>
    </row>
    <row r="105" spans="1:2" x14ac:dyDescent="0.25">
      <c r="A105" t="s">
        <v>126</v>
      </c>
      <c r="B105">
        <v>50</v>
      </c>
    </row>
    <row r="106" spans="1:2" x14ac:dyDescent="0.25">
      <c r="A106" t="s">
        <v>363</v>
      </c>
    </row>
    <row r="107" spans="1:2" x14ac:dyDescent="0.25">
      <c r="A107" t="s">
        <v>364</v>
      </c>
    </row>
    <row r="108" spans="1:2" x14ac:dyDescent="0.25">
      <c r="A108" t="s">
        <v>365</v>
      </c>
    </row>
    <row r="109" spans="1:2" x14ac:dyDescent="0.25">
      <c r="A109" t="s">
        <v>217</v>
      </c>
      <c r="B109">
        <v>3</v>
      </c>
    </row>
    <row r="110" spans="1:2" x14ac:dyDescent="0.25">
      <c r="A110" t="s">
        <v>366</v>
      </c>
    </row>
    <row r="111" spans="1:2" x14ac:dyDescent="0.25">
      <c r="A111" t="s">
        <v>51</v>
      </c>
      <c r="B111">
        <v>51</v>
      </c>
    </row>
    <row r="112" spans="1:2" x14ac:dyDescent="0.25">
      <c r="A112" t="s">
        <v>120</v>
      </c>
      <c r="B112">
        <v>52</v>
      </c>
    </row>
    <row r="113" spans="1:2" x14ac:dyDescent="0.25">
      <c r="A113" t="s">
        <v>367</v>
      </c>
    </row>
    <row r="114" spans="1:2" x14ac:dyDescent="0.25">
      <c r="A114" t="s">
        <v>368</v>
      </c>
    </row>
    <row r="115" spans="1:2" x14ac:dyDescent="0.25">
      <c r="A115" t="s">
        <v>369</v>
      </c>
    </row>
    <row r="116" spans="1:2" x14ac:dyDescent="0.25">
      <c r="A116" t="s">
        <v>60</v>
      </c>
      <c r="B116">
        <v>53</v>
      </c>
    </row>
    <row r="117" spans="1:2" x14ac:dyDescent="0.25">
      <c r="A117" t="s">
        <v>370</v>
      </c>
    </row>
    <row r="118" spans="1:2" x14ac:dyDescent="0.25">
      <c r="A118" t="s">
        <v>371</v>
      </c>
    </row>
    <row r="119" spans="1:2" x14ac:dyDescent="0.25">
      <c r="A119" t="s">
        <v>372</v>
      </c>
    </row>
    <row r="120" spans="1:2" x14ac:dyDescent="0.25">
      <c r="A120" t="s">
        <v>373</v>
      </c>
    </row>
    <row r="121" spans="1:2" x14ac:dyDescent="0.25">
      <c r="A121" t="s">
        <v>374</v>
      </c>
    </row>
    <row r="122" spans="1:2" x14ac:dyDescent="0.25">
      <c r="A122" t="s">
        <v>375</v>
      </c>
    </row>
    <row r="123" spans="1:2" x14ac:dyDescent="0.25">
      <c r="A123" t="s">
        <v>258</v>
      </c>
    </row>
    <row r="124" spans="1:2" x14ac:dyDescent="0.25">
      <c r="A124" t="s">
        <v>253</v>
      </c>
      <c r="B124">
        <v>54</v>
      </c>
    </row>
    <row r="125" spans="1:2" x14ac:dyDescent="0.25">
      <c r="A125" t="s">
        <v>260</v>
      </c>
      <c r="B125">
        <v>12</v>
      </c>
    </row>
    <row r="126" spans="1:2" x14ac:dyDescent="0.25">
      <c r="A126" t="s">
        <v>261</v>
      </c>
      <c r="B126">
        <v>11</v>
      </c>
    </row>
    <row r="127" spans="1:2" x14ac:dyDescent="0.25">
      <c r="A127" t="s">
        <v>262</v>
      </c>
      <c r="B127">
        <v>55</v>
      </c>
    </row>
    <row r="128" spans="1:2" x14ac:dyDescent="0.25">
      <c r="A128" t="s">
        <v>263</v>
      </c>
      <c r="B128">
        <v>56</v>
      </c>
    </row>
    <row r="129" spans="1:2" x14ac:dyDescent="0.25">
      <c r="A129" t="s">
        <v>233</v>
      </c>
      <c r="B129">
        <v>57</v>
      </c>
    </row>
    <row r="130" spans="1:2" x14ac:dyDescent="0.25">
      <c r="A130" t="s">
        <v>227</v>
      </c>
      <c r="B130">
        <v>58</v>
      </c>
    </row>
    <row r="131" spans="1:2" x14ac:dyDescent="0.25">
      <c r="A131" t="s">
        <v>93</v>
      </c>
      <c r="B131">
        <v>59</v>
      </c>
    </row>
    <row r="132" spans="1:2" x14ac:dyDescent="0.25">
      <c r="A132" t="s">
        <v>264</v>
      </c>
      <c r="B132">
        <v>60</v>
      </c>
    </row>
    <row r="133" spans="1:2" x14ac:dyDescent="0.25">
      <c r="A133" t="s">
        <v>199</v>
      </c>
      <c r="B133">
        <v>0</v>
      </c>
    </row>
    <row r="134" spans="1:2" x14ac:dyDescent="0.25">
      <c r="A134" t="s">
        <v>169</v>
      </c>
      <c r="B134">
        <v>7</v>
      </c>
    </row>
    <row r="135" spans="1:2" x14ac:dyDescent="0.25">
      <c r="A135" t="s">
        <v>12</v>
      </c>
      <c r="B135">
        <v>9</v>
      </c>
    </row>
    <row r="136" spans="1:2" x14ac:dyDescent="0.25">
      <c r="A136" t="s">
        <v>89</v>
      </c>
      <c r="B136">
        <v>61</v>
      </c>
    </row>
    <row r="137" spans="1:2" x14ac:dyDescent="0.25">
      <c r="A137" t="s">
        <v>97</v>
      </c>
      <c r="B137">
        <v>62</v>
      </c>
    </row>
    <row r="138" spans="1:2" x14ac:dyDescent="0.25">
      <c r="A138" t="s">
        <v>265</v>
      </c>
      <c r="B138">
        <v>63</v>
      </c>
    </row>
    <row r="139" spans="1:2" x14ac:dyDescent="0.25">
      <c r="A139" t="s">
        <v>238</v>
      </c>
      <c r="B139">
        <v>64</v>
      </c>
    </row>
    <row r="140" spans="1:2" x14ac:dyDescent="0.25">
      <c r="A140" t="s">
        <v>257</v>
      </c>
    </row>
    <row r="141" spans="1:2" x14ac:dyDescent="0.25">
      <c r="A141" t="s">
        <v>21</v>
      </c>
      <c r="B141">
        <v>68</v>
      </c>
    </row>
    <row r="142" spans="1:2" x14ac:dyDescent="0.25">
      <c r="A142" t="s">
        <v>266</v>
      </c>
      <c r="B142">
        <v>69</v>
      </c>
    </row>
    <row r="143" spans="1:2" x14ac:dyDescent="0.25">
      <c r="A143" t="s">
        <v>267</v>
      </c>
    </row>
    <row r="144" spans="1:2" x14ac:dyDescent="0.25">
      <c r="A144" t="s">
        <v>268</v>
      </c>
      <c r="B144">
        <v>26</v>
      </c>
    </row>
    <row r="145" spans="1:2" x14ac:dyDescent="0.25">
      <c r="A145" t="s">
        <v>38</v>
      </c>
      <c r="B145">
        <v>70</v>
      </c>
    </row>
    <row r="146" spans="1:2" x14ac:dyDescent="0.25">
      <c r="A146" t="s">
        <v>17</v>
      </c>
      <c r="B146">
        <v>71</v>
      </c>
    </row>
    <row r="147" spans="1:2" x14ac:dyDescent="0.25">
      <c r="A147" t="s">
        <v>42</v>
      </c>
      <c r="B147">
        <v>72</v>
      </c>
    </row>
    <row r="148" spans="1:2" x14ac:dyDescent="0.25">
      <c r="A148" t="s">
        <v>269</v>
      </c>
    </row>
    <row r="149" spans="1:2" x14ac:dyDescent="0.25">
      <c r="A149" t="s">
        <v>270</v>
      </c>
    </row>
    <row r="150" spans="1:2" x14ac:dyDescent="0.25">
      <c r="A150" t="s">
        <v>271</v>
      </c>
    </row>
    <row r="151" spans="1:2" x14ac:dyDescent="0.25">
      <c r="A151" t="s">
        <v>272</v>
      </c>
    </row>
    <row r="152" spans="1:2" x14ac:dyDescent="0.25">
      <c r="A152" t="s">
        <v>273</v>
      </c>
    </row>
    <row r="153" spans="1:2" x14ac:dyDescent="0.25">
      <c r="A153" t="s">
        <v>274</v>
      </c>
    </row>
    <row r="154" spans="1:2" x14ac:dyDescent="0.25">
      <c r="A154" t="s">
        <v>275</v>
      </c>
      <c r="B154">
        <v>73</v>
      </c>
    </row>
    <row r="155" spans="1:2" x14ac:dyDescent="0.25">
      <c r="A155" t="s">
        <v>241</v>
      </c>
      <c r="B155">
        <v>74</v>
      </c>
    </row>
    <row r="156" spans="1:2" x14ac:dyDescent="0.25">
      <c r="A156" t="s">
        <v>64</v>
      </c>
      <c r="B156">
        <v>75</v>
      </c>
    </row>
    <row r="157" spans="1:2" x14ac:dyDescent="0.25">
      <c r="A157" t="s">
        <v>55</v>
      </c>
      <c r="B157">
        <v>76</v>
      </c>
    </row>
    <row r="158" spans="1:2" x14ac:dyDescent="0.25">
      <c r="A158" t="s">
        <v>247</v>
      </c>
      <c r="B158">
        <v>77</v>
      </c>
    </row>
    <row r="159" spans="1:2" x14ac:dyDescent="0.25">
      <c r="A159" t="s">
        <v>224</v>
      </c>
      <c r="B159">
        <v>2</v>
      </c>
    </row>
    <row r="160" spans="1:2" x14ac:dyDescent="0.25">
      <c r="A160" t="s">
        <v>276</v>
      </c>
    </row>
    <row r="161" spans="1:2" x14ac:dyDescent="0.25">
      <c r="A161" t="s">
        <v>277</v>
      </c>
    </row>
    <row r="162" spans="1:2" x14ac:dyDescent="0.25">
      <c r="A162" t="s">
        <v>278</v>
      </c>
    </row>
    <row r="163" spans="1:2" x14ac:dyDescent="0.25">
      <c r="A163" t="s">
        <v>279</v>
      </c>
    </row>
    <row r="164" spans="1:2" x14ac:dyDescent="0.25">
      <c r="A164" t="s">
        <v>280</v>
      </c>
    </row>
    <row r="165" spans="1:2" x14ac:dyDescent="0.25">
      <c r="A165" t="s">
        <v>230</v>
      </c>
      <c r="B165">
        <v>1</v>
      </c>
    </row>
    <row r="166" spans="1:2" x14ac:dyDescent="0.25">
      <c r="A166" t="s">
        <v>281</v>
      </c>
    </row>
    <row r="167" spans="1:2" x14ac:dyDescent="0.25">
      <c r="A167" t="s">
        <v>282</v>
      </c>
    </row>
    <row r="168" spans="1:2" x14ac:dyDescent="0.25">
      <c r="A168" t="s">
        <v>283</v>
      </c>
    </row>
    <row r="169" spans="1:2" x14ac:dyDescent="0.25">
      <c r="A169" t="s">
        <v>284</v>
      </c>
      <c r="B169">
        <v>23</v>
      </c>
    </row>
    <row r="170" spans="1:2" x14ac:dyDescent="0.25">
      <c r="A170" t="s">
        <v>285</v>
      </c>
      <c r="B170">
        <v>24</v>
      </c>
    </row>
    <row r="171" spans="1:2" x14ac:dyDescent="0.25">
      <c r="A171" t="s">
        <v>376</v>
      </c>
      <c r="B171">
        <v>25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D29092B-C2BB-42AE-96D7-51928A07498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Mid Carrier</vt:lpstr>
      <vt:lpstr>Hat</vt:lpstr>
      <vt:lpstr>pin_name_table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Kurt Eckhardt</dc:creator>
  <cp:lastModifiedBy>Kurt Eckhardt</cp:lastModifiedBy>
  <dcterms:created xsi:type="dcterms:W3CDTF">2026-07-25T15:32:10Z</dcterms:created>
  <dcterms:modified xsi:type="dcterms:W3CDTF">2026-08-08T13:59:39Z</dcterms:modified>
</cp:coreProperties>
</file>